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EME" sheetId="1" state="visible" r:id="rId3"/>
    <sheet name="Lotes" sheetId="2" state="visible" r:id="rId4"/>
    <sheet name="Movimientos" sheetId="3" state="visible" r:id="rId5"/>
    <sheet name="Usuarios" sheetId="4" state="visible" r:id="rId6"/>
    <sheet name="Variedades" sheetId="5" state="visible" r:id="rId7"/>
    <sheet name="Ubicaciones" sheetId="6" state="visible" r:id="rId8"/>
    <sheet name="Semillas" sheetId="7" state="visible" r:id="rId9"/>
    <sheet name="Configuracion" sheetId="8" state="visible" r:id="rId10"/>
    <sheet name="HistoricoOcupacion" sheetId="9" state="visible" r:id="rId11"/>
    <sheet name="Clientes" sheetId="10" state="visible" r:id="rId12"/>
    <sheet name="Ventas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<sst xmlns="http://schemas.openxmlformats.org/spreadsheetml/2006/main" count="344" uniqueCount="229">
  <si>
    <t xml:space="preserve">XaviaApp · Base de datos v3 (final)</t>
  </si>
  <si>
    <t xml:space="preserve">Este archivo es la base de datos de XaviaApp.</t>
  </si>
  <si>
    <t xml:space="preserve">Subilo a Google Drive y abrilo como Hojas de calculo de Google.</t>
  </si>
  <si>
    <t xml:space="preserve">Despues conectalo a la app siguiendo el README del proyecto.</t>
  </si>
  <si>
    <t xml:space="preserve">── PESTANAS ──</t>
  </si>
  <si>
    <t xml:space="preserve">  Lotes              Estado actual de cada lote (vivo).</t>
  </si>
  <si>
    <t xml:space="preserve">  Movimientos        Historial completo. Una fila por cada cambio de fase, trasplante o cosecha.</t>
  </si>
  <si>
    <t xml:space="preserve">  Usuarios           Admin (todo) y Usuario (todo menos borrar). Los password_hash los genera la app.</t>
  </si>
  <si>
    <t xml:space="preserve">  Variedades         Lechuga Crespa, Hoja de Roble, Rucula, Albahaca + unidad de venta.</t>
  </si>
  <si>
    <t xml:space="preserve">  Ubicaciones        Naves, plantineras, mesadas. Pre-cargadas con valores reales de Marcelo.</t>
  </si>
  <si>
    <t xml:space="preserve">  Semillas           Catalogo de batches de semilla por proveedor y variedad.</t>
  </si>
  <si>
    <t xml:space="preserve">  Configuracion      Umbrales, prefijos, prox. correlativos de id de lote.</t>
  </si>
  <si>
    <t xml:space="preserve">  HistoricoOcupacion Snapshot diario por mesada para ver evolucion de huecos.</t>
  </si>
  <si>
    <t xml:space="preserve">  Clientes           (Fase 2) Base de clientes para el modulo de Ventas.</t>
  </si>
  <si>
    <t xml:space="preserve">  Ventas             (Fase 2) Registro de ventas con trazabilidad de lotes.</t>
  </si>
  <si>
    <t xml:space="preserve">── REGLAS IMPORTANTES ──</t>
  </si>
  <si>
    <t xml:space="preserve">  1. NO cambies los nombres de las columnas (la app las busca por nombre exacto).</t>
  </si>
  <si>
    <t xml:space="preserve">  2. Si queres agregar columnas nuevas, agregalas a la derecha del todo.</t>
  </si>
  <si>
    <t xml:space="preserve">  3. La fila de ejemplo del lote N1L1-001 la podes borrar cuando arranques a cargar los reales.</t>
  </si>
  <si>
    <t xml:space="preserve">  4. Las fotos se guardan en Google Drive y aca queda solo el link.</t>
  </si>
  <si>
    <t xml:space="preserve">  5. id_lote: arranca con N1- o N2- al sembrar y se completa al trasplantar (ej: N1L1-007).</t>
  </si>
  <si>
    <t xml:space="preserve">── CAPACIDAD TOTAL INSTALADA ──</t>
  </si>
  <si>
    <t xml:space="preserve">  Nave 1 (500 m²): 16.558 posiciones | 33,1 plantas/m² teoricas</t>
  </si>
  <si>
    <t xml:space="preserve">  Nave 2 (1.100 m²): 24.384 posiciones | 22,2 plantas/m² teoricas</t>
  </si>
  <si>
    <t xml:space="preserve">  Total: 40.942 posiciones</t>
  </si>
  <si>
    <t xml:space="preserve">── PENDIENTE ──</t>
  </si>
  <si>
    <t xml:space="preserve">  Capacidad de plantineras (Nave 1 y Nave 2): pendiente de confirmar con Marcelo.</t>
  </si>
  <si>
    <t xml:space="preserve">  Mientras tanto se cargo un valor estimado editable desde Admin.</t>
  </si>
  <si>
    <t xml:space="preserve">id_lote</t>
  </si>
  <si>
    <t xml:space="preserve">variedad</t>
  </si>
  <si>
    <t xml:space="preserve">fecha_siembra</t>
  </si>
  <si>
    <t xml:space="preserve">plantines_iniciales</t>
  </si>
  <si>
    <t xml:space="preserve">fase_actual</t>
  </si>
  <si>
    <t xml:space="preserve">ubicacion_actual</t>
  </si>
  <si>
    <t xml:space="preserve">tubos_ocupados_actual</t>
  </si>
  <si>
    <t xml:space="preserve">plantas_estimadas_actual</t>
  </si>
  <si>
    <t xml:space="preserve">fecha_ult_movimiento</t>
  </si>
  <si>
    <t xml:space="preserve">fecha_cosecha</t>
  </si>
  <si>
    <t xml:space="preserve">unidades_cosechadas</t>
  </si>
  <si>
    <t xml:space="preserve">plantas_por_unidad_real</t>
  </si>
  <si>
    <t xml:space="preserve">descarte_reportado</t>
  </si>
  <si>
    <t xml:space="preserve">peso_muestra_kg</t>
  </si>
  <si>
    <t xml:space="preserve">peso_total_estimado_kg</t>
  </si>
  <si>
    <t xml:space="preserve">usuario_creador</t>
  </si>
  <si>
    <t xml:space="preserve">foto_url</t>
  </si>
  <si>
    <t xml:space="preserve">lote_origen</t>
  </si>
  <si>
    <t xml:space="preserve">semilla_id</t>
  </si>
  <si>
    <t xml:space="preserve">destino_cosecha</t>
  </si>
  <si>
    <t xml:space="preserve">notas</t>
  </si>
  <si>
    <t xml:space="preserve">estado</t>
  </si>
  <si>
    <t xml:space="preserve">N1L1-001</t>
  </si>
  <si>
    <t xml:space="preserve">Lechuga Crespa</t>
  </si>
  <si>
    <t xml:space="preserve">2026-03-15</t>
  </si>
  <si>
    <t xml:space="preserve">fase_2</t>
  </si>
  <si>
    <t xml:space="preserve">Nave 1 - Mesada Lechuga 1 (F2)</t>
  </si>
  <si>
    <t xml:space="preserve">2026-04-05</t>
  </si>
  <si>
    <t xml:space="preserve">admin@xavia.com</t>
  </si>
  <si>
    <t xml:space="preserve">SEM-2026-03-L7</t>
  </si>
  <si>
    <t xml:space="preserve">planta</t>
  </si>
  <si>
    <t xml:space="preserve">Lote de ejemplo - se puede borrar</t>
  </si>
  <si>
    <t xml:space="preserve">activo</t>
  </si>
  <si>
    <t xml:space="preserve">id_movimiento</t>
  </si>
  <si>
    <t xml:space="preserve">fecha</t>
  </si>
  <si>
    <t xml:space="preserve">tipo</t>
  </si>
  <si>
    <t xml:space="preserve">fase_origen</t>
  </si>
  <si>
    <t xml:space="preserve">fase_destino</t>
  </si>
  <si>
    <t xml:space="preserve">ubicacion_origen</t>
  </si>
  <si>
    <t xml:space="preserve">ubicacion_destino</t>
  </si>
  <si>
    <t xml:space="preserve">tubos_ocupados</t>
  </si>
  <si>
    <t xml:space="preserve">plantas_estimadas</t>
  </si>
  <si>
    <t xml:space="preserve">tubos_consumidos_bandejas</t>
  </si>
  <si>
    <t xml:space="preserve">bandejas_armadas</t>
  </si>
  <si>
    <t xml:space="preserve">descarte_calculado</t>
  </si>
  <si>
    <t xml:space="preserve">desvio_porcentaje</t>
  </si>
  <si>
    <t xml:space="preserve">nivel_alerta</t>
  </si>
  <si>
    <t xml:space="preserve">alerta_revisada</t>
  </si>
  <si>
    <t xml:space="preserve">alerta_comentario</t>
  </si>
  <si>
    <t xml:space="preserve">cosechador</t>
  </si>
  <si>
    <t xml:space="preserve">usuario</t>
  </si>
  <si>
    <t xml:space="preserve">siembra</t>
  </si>
  <si>
    <t xml:space="preserve">plantin</t>
  </si>
  <si>
    <t xml:space="preserve">Nave 1 - Plantinera</t>
  </si>
  <si>
    <t xml:space="preserve">Siembra inicial 150 plantines</t>
  </si>
  <si>
    <t xml:space="preserve">2026-03-28</t>
  </si>
  <si>
    <t xml:space="preserve">trasplante</t>
  </si>
  <si>
    <t xml:space="preserve">fase_1</t>
  </si>
  <si>
    <t xml:space="preserve">Nave 1 - Mesada Lechuga 1 (F1)</t>
  </si>
  <si>
    <t xml:space="preserve">amarillo</t>
  </si>
  <si>
    <t xml:space="preserve">Trasplante a F1</t>
  </si>
  <si>
    <t xml:space="preserve">Trasplante a F2</t>
  </si>
  <si>
    <t xml:space="preserve">email</t>
  </si>
  <si>
    <t xml:space="preserve">password_hash</t>
  </si>
  <si>
    <t xml:space="preserve">rol</t>
  </si>
  <si>
    <t xml:space="preserve">nombre</t>
  </si>
  <si>
    <t xml:space="preserve">fecha_alta</t>
  </si>
  <si>
    <t xml:space="preserve">PENDIENTE_GENERAR_DESDE_APP</t>
  </si>
  <si>
    <t xml:space="preserve">admin</t>
  </si>
  <si>
    <t xml:space="preserve">Administrador</t>
  </si>
  <si>
    <t xml:space="preserve">SI</t>
  </si>
  <si>
    <t xml:space="preserve">2026-04-28</t>
  </si>
  <si>
    <t xml:space="preserve">El password_hash se genera al crear el usuario desde la app (la app usa bcrypt). Nunca escribas contrasenas en texto plano aca.</t>
  </si>
  <si>
    <t xml:space="preserve">fases_aplicables</t>
  </si>
  <si>
    <t xml:space="preserve">dias_estimados_cosecha</t>
  </si>
  <si>
    <t xml:space="preserve">unidad_venta</t>
  </si>
  <si>
    <t xml:space="preserve">plantas_por_unidad_esperado</t>
  </si>
  <si>
    <t xml:space="preserve">imagen_url</t>
  </si>
  <si>
    <t xml:space="preserve">plantin,fase_1,fase_2</t>
  </si>
  <si>
    <t xml:space="preserve">Lechuga Hoja de Roble</t>
  </si>
  <si>
    <t xml:space="preserve">Rucula</t>
  </si>
  <si>
    <t xml:space="preserve">plantin,fase_2</t>
  </si>
  <si>
    <t xml:space="preserve">paquete</t>
  </si>
  <si>
    <t xml:space="preserve">Albahaca</t>
  </si>
  <si>
    <t xml:space="preserve">id_ubicacion</t>
  </si>
  <si>
    <t xml:space="preserve">nave</t>
  </si>
  <si>
    <t xml:space="preserve">sector_fase</t>
  </si>
  <si>
    <t xml:space="preserve">variedad_asignada</t>
  </si>
  <si>
    <t xml:space="preserve">modulos</t>
  </si>
  <si>
    <t xml:space="preserve">perfiles_por_modulo</t>
  </si>
  <si>
    <t xml:space="preserve">orificios_por_perfil</t>
  </si>
  <si>
    <t xml:space="preserve">capacidad_calculada</t>
  </si>
  <si>
    <t xml:space="preserve">metros_cuadrados</t>
  </si>
  <si>
    <t xml:space="preserve">orden_visual</t>
  </si>
  <si>
    <t xml:space="preserve">N1-PLANT</t>
  </si>
  <si>
    <t xml:space="preserve">plantinera</t>
  </si>
  <si>
    <t xml:space="preserve">mixta</t>
  </si>
  <si>
    <t xml:space="preserve">Pendiente confirmar capacidad real</t>
  </si>
  <si>
    <t xml:space="preserve">N1-ML1-F1</t>
  </si>
  <si>
    <t xml:space="preserve">mesada</t>
  </si>
  <si>
    <t xml:space="preserve">lechuga</t>
  </si>
  <si>
    <t xml:space="preserve">2 modulos x 29 perfiles x 42 orificios</t>
  </si>
  <si>
    <t xml:space="preserve">N1-ML1-F2</t>
  </si>
  <si>
    <t xml:space="preserve">147 perfiles totales (9 mod x 15 + 1 final 12) x 14 orif</t>
  </si>
  <si>
    <t xml:space="preserve">N1-ML2-F1</t>
  </si>
  <si>
    <t xml:space="preserve">Nave 1 - Mesada Lechuga 2 (F1)</t>
  </si>
  <si>
    <t xml:space="preserve">1 modulo x 29 perfiles x 42 orificios</t>
  </si>
  <si>
    <t xml:space="preserve">N1-ML2-F2</t>
  </si>
  <si>
    <t xml:space="preserve">Nave 1 - Mesada Lechuga 2 (F2)</t>
  </si>
  <si>
    <t xml:space="preserve">132 perfiles (8 mod x 15 + 1 final 12) x 14 orif</t>
  </si>
  <si>
    <t xml:space="preserve">N1-MR1</t>
  </si>
  <si>
    <t xml:space="preserve">Nave 1 - Mesada Rucula 1</t>
  </si>
  <si>
    <t xml:space="preserve">rucula</t>
  </si>
  <si>
    <t xml:space="preserve">247 perfiles (9 mod x 25 + 1 final 22) x 22 pos</t>
  </si>
  <si>
    <t xml:space="preserve">N1-MR2</t>
  </si>
  <si>
    <t xml:space="preserve">Nave 1 - Mesada Rucula 2</t>
  </si>
  <si>
    <t xml:space="preserve">Mesada transformada. Capacidad real: 3.564 (suma 2 sub-bloques: 2.714 + 850)</t>
  </si>
  <si>
    <t xml:space="preserve">N2-PLANT</t>
  </si>
  <si>
    <t xml:space="preserve">Nave 2 - Plantinera</t>
  </si>
  <si>
    <t xml:space="preserve">N2-ML1-F1</t>
  </si>
  <si>
    <t xml:space="preserve">Nave 2 - Mesada Lechuga 1 (F1)</t>
  </si>
  <si>
    <t xml:space="preserve">4 mod x 22 perfiles x 34 orificios</t>
  </si>
  <si>
    <t xml:space="preserve">N2-ML1-F2</t>
  </si>
  <si>
    <t xml:space="preserve">Nave 2 - Mesada Lechuga 1 (F2)</t>
  </si>
  <si>
    <t xml:space="preserve">222 perfiles (24 mod x 9 + 6 final) x 13 orif</t>
  </si>
  <si>
    <t xml:space="preserve">N2-ML2-F1</t>
  </si>
  <si>
    <t xml:space="preserve">Nave 2 - Mesada Lechuga 2 (F1)</t>
  </si>
  <si>
    <t xml:space="preserve">Idem Mesada Lechuga 1</t>
  </si>
  <si>
    <t xml:space="preserve">N2-ML2-F2</t>
  </si>
  <si>
    <t xml:space="preserve">Nave 2 - Mesada Lechuga 2 (F2)</t>
  </si>
  <si>
    <t xml:space="preserve">N2-MR1</t>
  </si>
  <si>
    <t xml:space="preserve">Nave 2 - Mesada Rucula 1</t>
  </si>
  <si>
    <t xml:space="preserve">287 perfiles (28 mod x 10 + 7 final) x 22 pos</t>
  </si>
  <si>
    <t xml:space="preserve">N2-MR2</t>
  </si>
  <si>
    <t xml:space="preserve">Nave 2 - Mesada Rucula 2</t>
  </si>
  <si>
    <t xml:space="preserve">Idem Mesada Rucula 1</t>
  </si>
  <si>
    <t xml:space="preserve">Capacidades pre-cargadas con info de Marcelo. Total: 40.942 posiciones (N1: 16.558 | N2: 24.384). Las plantineras tienen valor estimado, ajustar cuando se confirme. La Mesada Rucula 2 de N1 tiene una formula compleja por dos sub-bloques: representamos su capacidad total (3.564) en la formula equivalente (168 perfiles * 21,21 pos promedio).</t>
  </si>
  <si>
    <t xml:space="preserve">id_semilla</t>
  </si>
  <si>
    <t xml:space="preserve">batch</t>
  </si>
  <si>
    <t xml:space="preserve">proveedor</t>
  </si>
  <si>
    <t xml:space="preserve">fecha_recepcion</t>
  </si>
  <si>
    <t xml:space="preserve">cantidad_recibida</t>
  </si>
  <si>
    <t xml:space="preserve">unidad</t>
  </si>
  <si>
    <t xml:space="preserve">precio_total</t>
  </si>
  <si>
    <t xml:space="preserve">stock_estimado</t>
  </si>
  <si>
    <t xml:space="preserve">2026-03-L7</t>
  </si>
  <si>
    <t xml:space="preserve">Seminis</t>
  </si>
  <si>
    <t xml:space="preserve">2026-03-10</t>
  </si>
  <si>
    <t xml:space="preserve">semillas</t>
  </si>
  <si>
    <t xml:space="preserve">normal</t>
  </si>
  <si>
    <t xml:space="preserve">Batch de ejemplo</t>
  </si>
  <si>
    <t xml:space="preserve">clave</t>
  </si>
  <si>
    <t xml:space="preserve">valor</t>
  </si>
  <si>
    <t xml:space="preserve">descripcion</t>
  </si>
  <si>
    <t xml:space="preserve">umbral_alerta_amarilla</t>
  </si>
  <si>
    <t xml:space="preserve">Porcentaje desvio para marcar amarilla</t>
  </si>
  <si>
    <t xml:space="preserve">umbral_alerta_roja</t>
  </si>
  <si>
    <t xml:space="preserve">Porcentaje desvio para marcar roja</t>
  </si>
  <si>
    <t xml:space="preserve">prefijo_lote_nave1</t>
  </si>
  <si>
    <t xml:space="preserve">N1</t>
  </si>
  <si>
    <t xml:space="preserve">Prefijo de id_lote para Nave 1</t>
  </si>
  <si>
    <t xml:space="preserve">prefijo_lote_nave2</t>
  </si>
  <si>
    <t xml:space="preserve">N2</t>
  </si>
  <si>
    <t xml:space="preserve">Prefijo de id_lote para Nave 2</t>
  </si>
  <si>
    <t xml:space="preserve">proximo_correlativo_n1</t>
  </si>
  <si>
    <t xml:space="preserve">Siguiente nro correlativo para lote nuevo en N1</t>
  </si>
  <si>
    <t xml:space="preserve">proximo_correlativo_n2</t>
  </si>
  <si>
    <t xml:space="preserve">Siguiente nro correlativo para lote nuevo en N2</t>
  </si>
  <si>
    <t xml:space="preserve">codigo_mesada_lechuga_1</t>
  </si>
  <si>
    <t xml:space="preserve">L1</t>
  </si>
  <si>
    <t xml:space="preserve">Sufijo de id para Mesada Lechuga 1</t>
  </si>
  <si>
    <t xml:space="preserve">codigo_mesada_lechuga_2</t>
  </si>
  <si>
    <t xml:space="preserve">L2</t>
  </si>
  <si>
    <t xml:space="preserve">Sufijo de id para Mesada Lechuga 2</t>
  </si>
  <si>
    <t xml:space="preserve">codigo_mesada_rucula_1</t>
  </si>
  <si>
    <t xml:space="preserve">R1</t>
  </si>
  <si>
    <t xml:space="preserve">Sufijo de id para Mesada Rucula 1</t>
  </si>
  <si>
    <t xml:space="preserve">codigo_mesada_rucula_2</t>
  </si>
  <si>
    <t xml:space="preserve">R2</t>
  </si>
  <si>
    <t xml:space="preserve">Sufijo de id para Mesada Rucula 2</t>
  </si>
  <si>
    <t xml:space="preserve">plantas_por_paquete_rucula_referencia</t>
  </si>
  <si>
    <t xml:space="preserve">Divisor de referencia para mostrar paquetes en proyeccion</t>
  </si>
  <si>
    <t xml:space="preserve">plantas_por_paquete_albahaca_referencia</t>
  </si>
  <si>
    <t xml:space="preserve">plantas_vivas</t>
  </si>
  <si>
    <t xml:space="preserve">capacidad</t>
  </si>
  <si>
    <t xml:space="preserve">ocupacion_porcentaje</t>
  </si>
  <si>
    <t xml:space="preserve">huecos_libres</t>
  </si>
  <si>
    <t xml:space="preserve">La app escribe automaticamente un snapshot diario por mesada. Sirve para ver tendencia 30 dias.</t>
  </si>
  <si>
    <t xml:space="preserve">id_cliente</t>
  </si>
  <si>
    <t xml:space="preserve">contacto</t>
  </si>
  <si>
    <t xml:space="preserve">telefono</t>
  </si>
  <si>
    <t xml:space="preserve">direccion</t>
  </si>
  <si>
    <t xml:space="preserve">Pestana preparada para Ventas (fase 2). Podes empezar a cargar clientes desde ya.</t>
  </si>
  <si>
    <t xml:space="preserve">id_venta</t>
  </si>
  <si>
    <t xml:space="preserve">fecha_entrega</t>
  </si>
  <si>
    <t xml:space="preserve">cliente_nombre</t>
  </si>
  <si>
    <t xml:space="preserve">cantidad</t>
  </si>
  <si>
    <t xml:space="preserve">precio_por_unidad</t>
  </si>
  <si>
    <t xml:space="preserve">total</t>
  </si>
  <si>
    <t xml:space="preserve">lotes_origen</t>
  </si>
  <si>
    <t xml:space="preserve">Pestana preparada para fase 2. La unidad puede ser planta, paquete o bandeja segun la variedad.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</si>
</sst>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059669"/>
      <name val="Arial"/>
      <family val="0"/>
      <charset val="1"/>
    </font>
    <font>
      <sz val="11"/>
      <name val="Arial"/>
      <family val="0"/>
      <charset val="1"/>
    </font>
    <font>
      <b val="true"/>
      <sz val="12"/>
      <color rgb="FF05966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0"/>
      <color rgb="FF6B728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059669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3" t="s">
        <v>4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2" t="s">
        <v>5</v>
      </c>
    </row>
    <row r="10" customFormat="false" ht="15" hidden="false" customHeight="false" outlineLevel="0" collapsed="false">
      <c r="A10" s="2" t="s">
        <v>6</v>
      </c>
    </row>
    <row r="11" customFormat="false" ht="15" hidden="false" customHeight="false" outlineLevel="0" collapsed="false">
      <c r="A11" s="2" t="s">
        <v>7</v>
      </c>
    </row>
    <row r="12" customFormat="false" ht="15" hidden="false" customHeight="false" outlineLevel="0" collapsed="false">
      <c r="A12" s="2" t="s">
        <v>8</v>
      </c>
    </row>
    <row r="13" customFormat="false" ht="1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/>
    </row>
    <row r="20" customFormat="false" ht="15" hidden="false" customHeight="false" outlineLevel="0" collapsed="false">
      <c r="A20" s="3" t="s">
        <v>15</v>
      </c>
    </row>
    <row r="21" customFormat="false" ht="15" hidden="false" customHeight="false" outlineLevel="0" collapsed="false">
      <c r="A21" s="2"/>
    </row>
    <row r="22" customFormat="false" ht="15" hidden="false" customHeight="false" outlineLevel="0" collapsed="false">
      <c r="A22" s="2" t="s">
        <v>16</v>
      </c>
    </row>
    <row r="23" customFormat="false" ht="15" hidden="false" customHeight="false" outlineLevel="0" collapsed="false">
      <c r="A23" s="2" t="s">
        <v>17</v>
      </c>
    </row>
    <row r="24" customFormat="false" ht="15" hidden="false" customHeight="false" outlineLevel="0" collapsed="false">
      <c r="A24" s="2" t="s">
        <v>18</v>
      </c>
    </row>
    <row r="25" customFormat="false" ht="15" hidden="false" customHeight="false" outlineLevel="0" collapsed="false">
      <c r="A25" s="2" t="s">
        <v>19</v>
      </c>
    </row>
    <row r="26" customFormat="false" ht="15" hidden="false" customHeight="false" outlineLevel="0" collapsed="false">
      <c r="A26" s="2" t="s">
        <v>20</v>
      </c>
    </row>
    <row r="27" customFormat="false" ht="15" hidden="false" customHeight="false" outlineLevel="0" collapsed="false">
      <c r="A27" s="2"/>
    </row>
    <row r="28" customFormat="false" ht="15" hidden="false" customHeight="false" outlineLevel="0" collapsed="false">
      <c r="A28" s="3" t="s">
        <v>21</v>
      </c>
    </row>
    <row r="29" customFormat="false" ht="15" hidden="false" customHeight="false" outlineLevel="0" collapsed="false">
      <c r="A29" s="2"/>
    </row>
    <row r="30" customFormat="false" ht="15" hidden="false" customHeight="false" outlineLevel="0" collapsed="false">
      <c r="A30" s="2" t="s">
        <v>22</v>
      </c>
    </row>
    <row r="31" customFormat="false" ht="15" hidden="false" customHeight="false" outlineLevel="0" collapsed="false">
      <c r="A31" s="2" t="s">
        <v>23</v>
      </c>
    </row>
    <row r="32" customFormat="false" ht="15" hidden="false" customHeight="false" outlineLevel="0" collapsed="false">
      <c r="A32" s="2" t="s">
        <v>24</v>
      </c>
    </row>
    <row r="33" customFormat="false" ht="15" hidden="false" customHeight="false" outlineLevel="0" collapsed="false">
      <c r="A33" s="2"/>
    </row>
    <row r="34" customFormat="false" ht="15" hidden="false" customHeight="false" outlineLevel="0" collapsed="false">
      <c r="A34" s="3" t="s">
        <v>25</v>
      </c>
    </row>
    <row r="35" customFormat="false" ht="15" hidden="false" customHeight="false" outlineLevel="0" collapsed="false">
      <c r="A35" s="2"/>
    </row>
    <row r="36" customFormat="false" ht="15" hidden="false" customHeight="false" outlineLevel="0" collapsed="false">
      <c r="A36" s="2" t="s">
        <v>26</v>
      </c>
    </row>
    <row r="37" customFormat="false" ht="15" hidden="false" customHeight="false" outlineLevel="0" collapsed="false">
      <c r="A37" s="2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18"/>
    <col collapsed="false" customWidth="true" hidden="false" outlineLevel="0" max="5" min="5" style="0" width="14"/>
    <col collapsed="false" customWidth="true" hidden="false" outlineLevel="0" max="6" min="6" style="0" width="32"/>
    <col collapsed="false" customWidth="true" hidden="false" outlineLevel="0" max="9" min="7" style="0" width="18"/>
    <col collapsed="false" customWidth="true" hidden="false" outlineLevel="0" max="10" min="10" style="0" width="14"/>
    <col collapsed="false" customWidth="true" hidden="false" outlineLevel="0" max="11" min="11" style="0" width="16"/>
    <col collapsed="false" customWidth="true" hidden="false" outlineLevel="0" max="12" min="12" style="0" width="18"/>
    <col collapsed="false" customWidth="true" hidden="false" outlineLevel="0" max="13" min="13" style="0" width="16"/>
    <col collapsed="false" customWidth="true" hidden="false" outlineLevel="0" max="14" min="14" style="0" width="15"/>
    <col collapsed="false" customWidth="true" hidden="false" outlineLevel="0" max="15" min="15" style="0" width="18"/>
    <col collapsed="false" customWidth="true" hidden="false" outlineLevel="0" max="16" min="16" style="0" width="22"/>
    <col collapsed="false" customWidth="true" hidden="false" outlineLevel="0" max="17" min="17" style="0" width="35"/>
    <col collapsed="false" customWidth="true" hidden="false" outlineLevel="0" max="18" min="18" style="0" width="14"/>
    <col collapsed="false" customWidth="true" hidden="false" outlineLevel="0" max="19" min="19" style="0" width="18"/>
    <col collapsed="false" customWidth="true" hidden="false" outlineLevel="0" max="20" min="20" style="0" width="16"/>
    <col collapsed="false" customWidth="true" hidden="false" outlineLevel="0" max="21" min="21" style="0" width="30"/>
    <col collapsed="false" customWidth="true" hidden="false" outlineLevel="0" max="22" min="22" style="0" width="12"/>
  </cols>
  <sheetData>
    <row r="1" customFormat="false" ht="21.75" hidden="false" customHeight="true" outlineLevel="0" collapsed="false">
      <c r="A1" s="4" t="s">
        <v>28</v>
      </c>
      <c r="B1" s="4" t="s">
        <v>29</v>
      </c>
      <c r="C1" s="4" t="s">
        <v>30</v>
      </c>
      <c r="D1" s="4" t="s">
        <v>31</v>
      </c>
      <c r="E1" s="4" t="s">
        <v>32</v>
      </c>
      <c r="F1" s="4" t="s">
        <v>33</v>
      </c>
      <c r="G1" s="4" t="s">
        <v>34</v>
      </c>
      <c r="H1" s="4" t="s">
        <v>35</v>
      </c>
      <c r="I1" s="4" t="s">
        <v>36</v>
      </c>
      <c r="J1" s="4" t="s">
        <v>37</v>
      </c>
      <c r="K1" s="4" t="s">
        <v>38</v>
      </c>
      <c r="L1" s="4" t="s">
        <v>39</v>
      </c>
      <c r="M1" s="4" t="s">
        <v>40</v>
      </c>
      <c r="N1" s="4" t="s">
        <v>41</v>
      </c>
      <c r="O1" s="4" t="s">
        <v>42</v>
      </c>
      <c r="P1" s="4" t="s">
        <v>43</v>
      </c>
      <c r="Q1" s="4" t="s">
        <v>44</v>
      </c>
      <c r="R1" s="4" t="s">
        <v>45</v>
      </c>
      <c r="S1" s="4" t="s">
        <v>46</v>
      </c>
      <c r="T1" s="4" t="s">
        <v>47</v>
      </c>
      <c r="U1" s="4" t="s">
        <v>48</v>
      </c>
      <c r="V1" s="4" t="s">
        <v>49</v>
      </c>
    </row>
    <row r="2" customFormat="false" ht="26.85" hidden="false" customHeight="false" outlineLevel="0" collapsed="false">
      <c r="A2" s="5" t="s">
        <v>50</v>
      </c>
      <c r="B2" s="5" t="s">
        <v>51</v>
      </c>
      <c r="C2" s="5" t="s">
        <v>52</v>
      </c>
      <c r="D2" s="5" t="n">
        <v>150</v>
      </c>
      <c r="E2" s="5" t="s">
        <v>53</v>
      </c>
      <c r="F2" s="5" t="s">
        <v>54</v>
      </c>
      <c r="G2" s="5" t="n">
        <v>6</v>
      </c>
      <c r="H2" s="5" t="n">
        <v>120</v>
      </c>
      <c r="I2" s="5" t="s">
        <v>55</v>
      </c>
      <c r="J2" s="5"/>
      <c r="K2" s="5"/>
      <c r="L2" s="5"/>
      <c r="M2" s="5"/>
      <c r="N2" s="5"/>
      <c r="O2" s="5"/>
      <c r="P2" s="5" t="s">
        <v>56</v>
      </c>
      <c r="Q2" s="5"/>
      <c r="R2" s="5"/>
      <c r="S2" s="5" t="s">
        <v>57</v>
      </c>
      <c r="T2" s="5" t="s">
        <v>58</v>
      </c>
      <c r="U2" s="5" t="s">
        <v>59</v>
      </c>
      <c r="V2" s="5" t="s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"/>
    <col collapsed="false" customWidth="true" hidden="false" outlineLevel="0" max="4" min="3" style="0" width="14"/>
    <col collapsed="false" customWidth="true" hidden="false" outlineLevel="0" max="6" min="5" style="0" width="13"/>
    <col collapsed="false" customWidth="true" hidden="false" outlineLevel="0" max="8" min="7" style="0" width="30"/>
    <col collapsed="false" customWidth="true" hidden="false" outlineLevel="0" max="9" min="9" style="0" width="14"/>
    <col collapsed="false" customWidth="true" hidden="false" outlineLevel="0" max="11" min="10" style="0" width="16"/>
    <col collapsed="false" customWidth="true" hidden="false" outlineLevel="0" max="12" min="12" style="0" width="18"/>
    <col collapsed="false" customWidth="true" hidden="false" outlineLevel="0" max="13" min="13" style="0" width="20"/>
    <col collapsed="false" customWidth="true" hidden="false" outlineLevel="0" max="14" min="14" style="0" width="18"/>
    <col collapsed="false" customWidth="true" hidden="false" outlineLevel="0" max="15" min="15" style="0" width="16"/>
    <col collapsed="false" customWidth="true" hidden="false" outlineLevel="0" max="16" min="16" style="0" width="18"/>
    <col collapsed="false" customWidth="true" hidden="false" outlineLevel="0" max="17" min="17" style="0" width="16"/>
    <col collapsed="false" customWidth="true" hidden="false" outlineLevel="0" max="18" min="18" style="0" width="14"/>
    <col collapsed="false" customWidth="true" hidden="false" outlineLevel="0" max="19" min="19" style="0" width="16"/>
    <col collapsed="false" customWidth="true" hidden="false" outlineLevel="0" max="20" min="20" style="0" width="35"/>
    <col collapsed="false" customWidth="true" hidden="false" outlineLevel="0" max="21" min="21" style="0" width="16"/>
    <col collapsed="false" customWidth="true" hidden="false" outlineLevel="0" max="22" min="22" style="0" width="18"/>
    <col collapsed="false" customWidth="true" hidden="false" outlineLevel="0" max="23" min="23" style="0" width="35"/>
    <col collapsed="false" customWidth="true" hidden="false" outlineLevel="0" max="24" min="24" style="0" width="30"/>
  </cols>
  <sheetData>
    <row r="1" customFormat="false" ht="21.75" hidden="false" customHeight="true" outlineLevel="0" collapsed="false">
      <c r="A1" s="4" t="s">
        <v>61</v>
      </c>
      <c r="B1" s="4" t="s">
        <v>28</v>
      </c>
      <c r="C1" s="4" t="s">
        <v>62</v>
      </c>
      <c r="D1" s="4" t="s">
        <v>63</v>
      </c>
      <c r="E1" s="4" t="s">
        <v>64</v>
      </c>
      <c r="F1" s="4" t="s">
        <v>65</v>
      </c>
      <c r="G1" s="4" t="s">
        <v>66</v>
      </c>
      <c r="H1" s="4" t="s">
        <v>67</v>
      </c>
      <c r="I1" s="4" t="s">
        <v>68</v>
      </c>
      <c r="J1" s="4" t="s">
        <v>69</v>
      </c>
      <c r="K1" s="4" t="s">
        <v>38</v>
      </c>
      <c r="L1" s="4" t="s">
        <v>39</v>
      </c>
      <c r="M1" s="4" t="s">
        <v>70</v>
      </c>
      <c r="N1" s="4" t="s">
        <v>71</v>
      </c>
      <c r="O1" s="4" t="s">
        <v>40</v>
      </c>
      <c r="P1" s="4" t="s">
        <v>72</v>
      </c>
      <c r="Q1" s="4" t="s">
        <v>73</v>
      </c>
      <c r="R1" s="4" t="s">
        <v>74</v>
      </c>
      <c r="S1" s="4" t="s">
        <v>75</v>
      </c>
      <c r="T1" s="4" t="s">
        <v>76</v>
      </c>
      <c r="U1" s="4" t="s">
        <v>77</v>
      </c>
      <c r="V1" s="4" t="s">
        <v>78</v>
      </c>
      <c r="W1" s="4" t="s">
        <v>44</v>
      </c>
      <c r="X1" s="4" t="s">
        <v>48</v>
      </c>
    </row>
    <row r="2" customFormat="false" ht="15" hidden="false" customHeight="false" outlineLevel="0" collapsed="false">
      <c r="A2" s="5" t="n">
        <v>1</v>
      </c>
      <c r="B2" s="5" t="s">
        <v>50</v>
      </c>
      <c r="C2" s="5" t="s">
        <v>52</v>
      </c>
      <c r="D2" s="5" t="s">
        <v>79</v>
      </c>
      <c r="E2" s="5"/>
      <c r="F2" s="5" t="s">
        <v>80</v>
      </c>
      <c r="G2" s="5"/>
      <c r="H2" s="5" t="s">
        <v>81</v>
      </c>
      <c r="I2" s="5"/>
      <c r="J2" s="5" t="n">
        <v>150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 t="s">
        <v>56</v>
      </c>
      <c r="W2" s="5"/>
      <c r="X2" s="5" t="s">
        <v>82</v>
      </c>
    </row>
    <row r="3" customFormat="false" ht="26.85" hidden="false" customHeight="false" outlineLevel="0" collapsed="false">
      <c r="A3" s="5" t="n">
        <v>2</v>
      </c>
      <c r="B3" s="5" t="s">
        <v>50</v>
      </c>
      <c r="C3" s="5" t="s">
        <v>83</v>
      </c>
      <c r="D3" s="5" t="s">
        <v>84</v>
      </c>
      <c r="E3" s="5" t="s">
        <v>80</v>
      </c>
      <c r="F3" s="5" t="s">
        <v>85</v>
      </c>
      <c r="G3" s="5" t="s">
        <v>81</v>
      </c>
      <c r="H3" s="5" t="s">
        <v>86</v>
      </c>
      <c r="I3" s="5" t="n">
        <v>7</v>
      </c>
      <c r="J3" s="5" t="n">
        <v>140</v>
      </c>
      <c r="K3" s="5"/>
      <c r="L3" s="5"/>
      <c r="M3" s="5"/>
      <c r="N3" s="5"/>
      <c r="O3" s="5" t="n">
        <v>10</v>
      </c>
      <c r="P3" s="5" t="n">
        <v>10</v>
      </c>
      <c r="Q3" s="5" t="n">
        <v>6.7</v>
      </c>
      <c r="R3" s="5" t="s">
        <v>87</v>
      </c>
      <c r="S3" s="5"/>
      <c r="T3" s="5"/>
      <c r="U3" s="5"/>
      <c r="V3" s="5" t="s">
        <v>56</v>
      </c>
      <c r="W3" s="5"/>
      <c r="X3" s="5" t="s">
        <v>88</v>
      </c>
    </row>
    <row r="4" customFormat="false" ht="26.85" hidden="false" customHeight="false" outlineLevel="0" collapsed="false">
      <c r="A4" s="5" t="n">
        <v>3</v>
      </c>
      <c r="B4" s="5" t="s">
        <v>50</v>
      </c>
      <c r="C4" s="5" t="s">
        <v>55</v>
      </c>
      <c r="D4" s="5" t="s">
        <v>84</v>
      </c>
      <c r="E4" s="5" t="s">
        <v>85</v>
      </c>
      <c r="F4" s="5" t="s">
        <v>53</v>
      </c>
      <c r="G4" s="5" t="s">
        <v>86</v>
      </c>
      <c r="H4" s="5" t="s">
        <v>54</v>
      </c>
      <c r="I4" s="5" t="n">
        <v>6</v>
      </c>
      <c r="J4" s="5" t="n">
        <v>120</v>
      </c>
      <c r="K4" s="5"/>
      <c r="L4" s="5"/>
      <c r="M4" s="5"/>
      <c r="N4" s="5"/>
      <c r="O4" s="5" t="n">
        <v>0</v>
      </c>
      <c r="P4" s="5" t="n">
        <v>20</v>
      </c>
      <c r="Q4" s="5" t="n">
        <v>14.3</v>
      </c>
      <c r="R4" s="5" t="s">
        <v>87</v>
      </c>
      <c r="S4" s="5"/>
      <c r="T4" s="5"/>
      <c r="U4" s="5"/>
      <c r="V4" s="5" t="s">
        <v>56</v>
      </c>
      <c r="W4" s="5"/>
      <c r="X4" s="5" t="s">
        <v>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60"/>
    <col collapsed="false" customWidth="true" hidden="false" outlineLevel="0" max="3" min="3" style="0" width="14"/>
    <col collapsed="false" customWidth="true" hidden="false" outlineLevel="0" max="4" min="4" style="0" width="22"/>
    <col collapsed="false" customWidth="true" hidden="false" outlineLevel="0" max="5" min="5" style="0" width="10"/>
    <col collapsed="false" customWidth="true" hidden="false" outlineLevel="0" max="6" min="6" style="0" width="14"/>
  </cols>
  <sheetData>
    <row r="1" customFormat="false" ht="21.75" hidden="false" customHeight="true" outlineLevel="0" collapsed="false">
      <c r="A1" s="4" t="s">
        <v>90</v>
      </c>
      <c r="B1" s="4" t="s">
        <v>91</v>
      </c>
      <c r="C1" s="4" t="s">
        <v>92</v>
      </c>
      <c r="D1" s="4" t="s">
        <v>93</v>
      </c>
      <c r="E1" s="4" t="s">
        <v>60</v>
      </c>
      <c r="F1" s="4" t="s">
        <v>94</v>
      </c>
    </row>
    <row r="2" customFormat="false" ht="15" hidden="false" customHeight="false" outlineLevel="0" collapsed="false">
      <c r="A2" s="5" t="s">
        <v>56</v>
      </c>
      <c r="B2" s="5" t="s">
        <v>95</v>
      </c>
      <c r="C2" s="5" t="s">
        <v>96</v>
      </c>
      <c r="D2" s="5" t="s">
        <v>97</v>
      </c>
      <c r="E2" s="5" t="s">
        <v>98</v>
      </c>
      <c r="F2" s="5" t="s">
        <v>99</v>
      </c>
    </row>
    <row r="4" customFormat="false" ht="15" hidden="false" customHeight="false" outlineLevel="0" collapsed="false">
      <c r="A4" s="6" t="s">
        <v>100</v>
      </c>
      <c r="B4" s="6"/>
      <c r="C4" s="6"/>
      <c r="D4" s="6"/>
      <c r="E4" s="6"/>
      <c r="F4" s="6"/>
    </row>
  </sheetData>
  <mergeCells count="1">
    <mergeCell ref="A4:F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8"/>
    <col collapsed="false" customWidth="true" hidden="false" outlineLevel="0" max="3" min="3" style="0" width="22"/>
    <col collapsed="false" customWidth="true" hidden="false" outlineLevel="0" max="4" min="4" style="0" width="16"/>
    <col collapsed="false" customWidth="true" hidden="false" outlineLevel="0" max="5" min="5" style="0" width="26"/>
    <col collapsed="false" customWidth="true" hidden="false" outlineLevel="0" max="6" min="6" style="0" width="50"/>
    <col collapsed="false" customWidth="true" hidden="false" outlineLevel="0" max="7" min="7" style="0" width="10"/>
  </cols>
  <sheetData>
    <row r="1" customFormat="false" ht="21.75" hidden="false" customHeight="true" outlineLevel="0" collapsed="false">
      <c r="A1" s="4" t="s">
        <v>29</v>
      </c>
      <c r="B1" s="4" t="s">
        <v>101</v>
      </c>
      <c r="C1" s="4" t="s">
        <v>102</v>
      </c>
      <c r="D1" s="4" t="s">
        <v>103</v>
      </c>
      <c r="E1" s="4" t="s">
        <v>104</v>
      </c>
      <c r="F1" s="4" t="s">
        <v>105</v>
      </c>
      <c r="G1" s="4" t="s">
        <v>60</v>
      </c>
    </row>
    <row r="2" customFormat="false" ht="15" hidden="false" customHeight="false" outlineLevel="0" collapsed="false">
      <c r="A2" s="5" t="s">
        <v>51</v>
      </c>
      <c r="B2" s="5" t="s">
        <v>106</v>
      </c>
      <c r="C2" s="5" t="n">
        <v>36</v>
      </c>
      <c r="D2" s="5" t="s">
        <v>58</v>
      </c>
      <c r="E2" s="5" t="n">
        <v>1</v>
      </c>
      <c r="F2" s="5"/>
      <c r="G2" s="5" t="s">
        <v>98</v>
      </c>
    </row>
    <row r="3" customFormat="false" ht="26.85" hidden="false" customHeight="false" outlineLevel="0" collapsed="false">
      <c r="A3" s="5" t="s">
        <v>107</v>
      </c>
      <c r="B3" s="5" t="s">
        <v>106</v>
      </c>
      <c r="C3" s="5" t="n">
        <v>37</v>
      </c>
      <c r="D3" s="5" t="s">
        <v>58</v>
      </c>
      <c r="E3" s="5" t="n">
        <v>1</v>
      </c>
      <c r="F3" s="5"/>
      <c r="G3" s="5" t="s">
        <v>98</v>
      </c>
    </row>
    <row r="4" customFormat="false" ht="15" hidden="false" customHeight="false" outlineLevel="0" collapsed="false">
      <c r="A4" s="5" t="s">
        <v>108</v>
      </c>
      <c r="B4" s="5" t="s">
        <v>109</v>
      </c>
      <c r="C4" s="5" t="n">
        <v>28</v>
      </c>
      <c r="D4" s="5" t="s">
        <v>110</v>
      </c>
      <c r="E4" s="5" t="n">
        <v>3</v>
      </c>
      <c r="F4" s="5"/>
      <c r="G4" s="5" t="s">
        <v>98</v>
      </c>
    </row>
    <row r="5" customFormat="false" ht="15" hidden="false" customHeight="false" outlineLevel="0" collapsed="false">
      <c r="A5" s="5" t="s">
        <v>111</v>
      </c>
      <c r="B5" s="5" t="s">
        <v>109</v>
      </c>
      <c r="C5" s="5" t="n">
        <v>40</v>
      </c>
      <c r="D5" s="5" t="s">
        <v>110</v>
      </c>
      <c r="E5" s="5" t="n">
        <v>2</v>
      </c>
      <c r="F5" s="5"/>
      <c r="G5" s="5" t="s">
        <v>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8"/>
    <col collapsed="false" customWidth="true" hidden="false" outlineLevel="0" max="3" min="3" style="0" width="14"/>
    <col collapsed="false" customWidth="true" hidden="false" outlineLevel="0" max="4" min="4" style="0" width="36"/>
    <col collapsed="false" customWidth="true" hidden="false" outlineLevel="0" max="5" min="5" style="0" width="12"/>
    <col collapsed="false" customWidth="true" hidden="false" outlineLevel="0" max="6" min="6" style="0" width="18"/>
    <col collapsed="false" customWidth="true" hidden="false" outlineLevel="0" max="7" min="7" style="0" width="12"/>
    <col collapsed="false" customWidth="true" hidden="false" outlineLevel="0" max="10" min="8" style="0" width="18"/>
    <col collapsed="false" customWidth="true" hidden="false" outlineLevel="0" max="12" min="11" style="0" width="12"/>
    <col collapsed="false" customWidth="true" hidden="false" outlineLevel="0" max="13" min="13" style="0" width="10"/>
    <col collapsed="false" customWidth="true" hidden="false" outlineLevel="0" max="14" min="14" style="0" width="35"/>
  </cols>
  <sheetData>
    <row r="1" customFormat="false" ht="21.75" hidden="false" customHeight="true" outlineLevel="0" collapsed="false">
      <c r="A1" s="4" t="s">
        <v>112</v>
      </c>
      <c r="B1" s="4" t="s">
        <v>113</v>
      </c>
      <c r="C1" s="4" t="s">
        <v>63</v>
      </c>
      <c r="D1" s="4" t="s">
        <v>93</v>
      </c>
      <c r="E1" s="4" t="s">
        <v>114</v>
      </c>
      <c r="F1" s="4" t="s">
        <v>115</v>
      </c>
      <c r="G1" s="4" t="s">
        <v>116</v>
      </c>
      <c r="H1" s="4" t="s">
        <v>117</v>
      </c>
      <c r="I1" s="4" t="s">
        <v>118</v>
      </c>
      <c r="J1" s="4" t="s">
        <v>119</v>
      </c>
      <c r="K1" s="4" t="s">
        <v>120</v>
      </c>
      <c r="L1" s="4" t="s">
        <v>121</v>
      </c>
      <c r="M1" s="4" t="s">
        <v>60</v>
      </c>
      <c r="N1" s="4" t="s">
        <v>48</v>
      </c>
    </row>
    <row r="2" customFormat="false" ht="15" hidden="false" customHeight="false" outlineLevel="0" collapsed="false">
      <c r="A2" s="5" t="s">
        <v>122</v>
      </c>
      <c r="B2" s="5" t="n">
        <v>1</v>
      </c>
      <c r="C2" s="5" t="s">
        <v>123</v>
      </c>
      <c r="D2" s="5" t="s">
        <v>81</v>
      </c>
      <c r="E2" s="5" t="s">
        <v>80</v>
      </c>
      <c r="F2" s="5" t="s">
        <v>124</v>
      </c>
      <c r="G2" s="5" t="n">
        <v>1</v>
      </c>
      <c r="H2" s="5" t="n">
        <v>1</v>
      </c>
      <c r="I2" s="5" t="n">
        <v>2000</v>
      </c>
      <c r="J2" s="5" t="n">
        <f aca="false">G2*H2*I2</f>
        <v>2000</v>
      </c>
      <c r="K2" s="5" t="n">
        <v>500</v>
      </c>
      <c r="L2" s="5" t="n">
        <v>1</v>
      </c>
      <c r="M2" s="5" t="s">
        <v>98</v>
      </c>
      <c r="N2" s="5" t="s">
        <v>125</v>
      </c>
    </row>
    <row r="3" customFormat="false" ht="15" hidden="false" customHeight="false" outlineLevel="0" collapsed="false">
      <c r="A3" s="5" t="s">
        <v>126</v>
      </c>
      <c r="B3" s="5" t="n">
        <v>1</v>
      </c>
      <c r="C3" s="5" t="s">
        <v>127</v>
      </c>
      <c r="D3" s="5" t="s">
        <v>86</v>
      </c>
      <c r="E3" s="5" t="s">
        <v>85</v>
      </c>
      <c r="F3" s="5" t="s">
        <v>128</v>
      </c>
      <c r="G3" s="5" t="n">
        <v>2</v>
      </c>
      <c r="H3" s="5" t="n">
        <v>29</v>
      </c>
      <c r="I3" s="5" t="n">
        <v>42</v>
      </c>
      <c r="J3" s="5" t="n">
        <f aca="false">G3*H3*I3</f>
        <v>2436</v>
      </c>
      <c r="K3" s="5" t="n">
        <v>500</v>
      </c>
      <c r="L3" s="5" t="n">
        <v>2</v>
      </c>
      <c r="M3" s="5" t="s">
        <v>98</v>
      </c>
      <c r="N3" s="5" t="s">
        <v>129</v>
      </c>
    </row>
    <row r="4" customFormat="false" ht="26.85" hidden="false" customHeight="false" outlineLevel="0" collapsed="false">
      <c r="A4" s="5" t="s">
        <v>130</v>
      </c>
      <c r="B4" s="5" t="n">
        <v>1</v>
      </c>
      <c r="C4" s="5" t="s">
        <v>127</v>
      </c>
      <c r="D4" s="5" t="s">
        <v>54</v>
      </c>
      <c r="E4" s="5" t="s">
        <v>53</v>
      </c>
      <c r="F4" s="5" t="s">
        <v>128</v>
      </c>
      <c r="G4" s="5" t="n">
        <v>1</v>
      </c>
      <c r="H4" s="5" t="n">
        <v>147</v>
      </c>
      <c r="I4" s="5" t="n">
        <v>14</v>
      </c>
      <c r="J4" s="5" t="n">
        <f aca="false">G4*H4*I4</f>
        <v>2058</v>
      </c>
      <c r="K4" s="5" t="n">
        <v>500</v>
      </c>
      <c r="L4" s="5" t="n">
        <v>3</v>
      </c>
      <c r="M4" s="5" t="s">
        <v>98</v>
      </c>
      <c r="N4" s="5" t="s">
        <v>131</v>
      </c>
    </row>
    <row r="5" customFormat="false" ht="15" hidden="false" customHeight="false" outlineLevel="0" collapsed="false">
      <c r="A5" s="5" t="s">
        <v>132</v>
      </c>
      <c r="B5" s="5" t="n">
        <v>1</v>
      </c>
      <c r="C5" s="5" t="s">
        <v>127</v>
      </c>
      <c r="D5" s="5" t="s">
        <v>133</v>
      </c>
      <c r="E5" s="5" t="s">
        <v>85</v>
      </c>
      <c r="F5" s="5" t="s">
        <v>128</v>
      </c>
      <c r="G5" s="5" t="n">
        <v>1</v>
      </c>
      <c r="H5" s="5" t="n">
        <v>29</v>
      </c>
      <c r="I5" s="5" t="n">
        <v>42</v>
      </c>
      <c r="J5" s="5" t="n">
        <f aca="false">G5*H5*I5</f>
        <v>1218</v>
      </c>
      <c r="K5" s="5" t="n">
        <v>500</v>
      </c>
      <c r="L5" s="5" t="n">
        <v>4</v>
      </c>
      <c r="M5" s="5" t="s">
        <v>98</v>
      </c>
      <c r="N5" s="5" t="s">
        <v>134</v>
      </c>
    </row>
    <row r="6" customFormat="false" ht="26.85" hidden="false" customHeight="false" outlineLevel="0" collapsed="false">
      <c r="A6" s="5" t="s">
        <v>135</v>
      </c>
      <c r="B6" s="5" t="n">
        <v>1</v>
      </c>
      <c r="C6" s="5" t="s">
        <v>127</v>
      </c>
      <c r="D6" s="5" t="s">
        <v>136</v>
      </c>
      <c r="E6" s="5" t="s">
        <v>53</v>
      </c>
      <c r="F6" s="5" t="s">
        <v>128</v>
      </c>
      <c r="G6" s="5" t="n">
        <v>1</v>
      </c>
      <c r="H6" s="5" t="n">
        <v>132</v>
      </c>
      <c r="I6" s="5" t="n">
        <v>14</v>
      </c>
      <c r="J6" s="5" t="n">
        <f aca="false">G6*H6*I6</f>
        <v>1848</v>
      </c>
      <c r="K6" s="5" t="n">
        <v>500</v>
      </c>
      <c r="L6" s="5" t="n">
        <v>5</v>
      </c>
      <c r="M6" s="5" t="s">
        <v>98</v>
      </c>
      <c r="N6" s="5" t="s">
        <v>137</v>
      </c>
    </row>
    <row r="7" customFormat="false" ht="26.85" hidden="false" customHeight="false" outlineLevel="0" collapsed="false">
      <c r="A7" s="5" t="s">
        <v>138</v>
      </c>
      <c r="B7" s="5" t="n">
        <v>1</v>
      </c>
      <c r="C7" s="5" t="s">
        <v>127</v>
      </c>
      <c r="D7" s="5" t="s">
        <v>139</v>
      </c>
      <c r="E7" s="5" t="s">
        <v>53</v>
      </c>
      <c r="F7" s="5" t="s">
        <v>140</v>
      </c>
      <c r="G7" s="5" t="n">
        <v>1</v>
      </c>
      <c r="H7" s="5" t="n">
        <v>247</v>
      </c>
      <c r="I7" s="5" t="n">
        <v>22</v>
      </c>
      <c r="J7" s="5" t="n">
        <f aca="false">G7*H7*I7</f>
        <v>5434</v>
      </c>
      <c r="K7" s="5" t="n">
        <v>500</v>
      </c>
      <c r="L7" s="5" t="n">
        <v>6</v>
      </c>
      <c r="M7" s="5" t="s">
        <v>98</v>
      </c>
      <c r="N7" s="5" t="s">
        <v>141</v>
      </c>
    </row>
    <row r="8" customFormat="false" ht="39.55" hidden="false" customHeight="false" outlineLevel="0" collapsed="false">
      <c r="A8" s="5" t="s">
        <v>142</v>
      </c>
      <c r="B8" s="5" t="n">
        <v>1</v>
      </c>
      <c r="C8" s="5" t="s">
        <v>127</v>
      </c>
      <c r="D8" s="5" t="s">
        <v>143</v>
      </c>
      <c r="E8" s="5" t="s">
        <v>53</v>
      </c>
      <c r="F8" s="5" t="s">
        <v>140</v>
      </c>
      <c r="G8" s="5" t="n">
        <v>1</v>
      </c>
      <c r="H8" s="5" t="n">
        <v>168</v>
      </c>
      <c r="I8" s="5" t="n">
        <v>21.21</v>
      </c>
      <c r="J8" s="5" t="n">
        <f aca="false">G8*H8*I8</f>
        <v>3563.28</v>
      </c>
      <c r="K8" s="5" t="n">
        <v>500</v>
      </c>
      <c r="L8" s="5" t="n">
        <v>7</v>
      </c>
      <c r="M8" s="5" t="s">
        <v>98</v>
      </c>
      <c r="N8" s="5" t="s">
        <v>144</v>
      </c>
    </row>
    <row r="9" customFormat="false" ht="15" hidden="false" customHeight="false" outlineLevel="0" collapsed="false">
      <c r="A9" s="5" t="s">
        <v>145</v>
      </c>
      <c r="B9" s="5" t="n">
        <v>2</v>
      </c>
      <c r="C9" s="5" t="s">
        <v>123</v>
      </c>
      <c r="D9" s="5" t="s">
        <v>146</v>
      </c>
      <c r="E9" s="5" t="s">
        <v>80</v>
      </c>
      <c r="F9" s="5" t="s">
        <v>124</v>
      </c>
      <c r="G9" s="5" t="n">
        <v>1</v>
      </c>
      <c r="H9" s="5" t="n">
        <v>1</v>
      </c>
      <c r="I9" s="5" t="n">
        <v>4400</v>
      </c>
      <c r="J9" s="5" t="n">
        <f aca="false">G9*H9*I9</f>
        <v>4400</v>
      </c>
      <c r="K9" s="5" t="n">
        <v>1100</v>
      </c>
      <c r="L9" s="5" t="n">
        <v>8</v>
      </c>
      <c r="M9" s="5" t="s">
        <v>98</v>
      </c>
      <c r="N9" s="5" t="s">
        <v>125</v>
      </c>
    </row>
    <row r="10" customFormat="false" ht="15" hidden="false" customHeight="false" outlineLevel="0" collapsed="false">
      <c r="A10" s="5" t="s">
        <v>147</v>
      </c>
      <c r="B10" s="5" t="n">
        <v>2</v>
      </c>
      <c r="C10" s="5" t="s">
        <v>127</v>
      </c>
      <c r="D10" s="5" t="s">
        <v>148</v>
      </c>
      <c r="E10" s="5" t="s">
        <v>85</v>
      </c>
      <c r="F10" s="5" t="s">
        <v>128</v>
      </c>
      <c r="G10" s="5" t="n">
        <v>4</v>
      </c>
      <c r="H10" s="5" t="n">
        <v>22</v>
      </c>
      <c r="I10" s="5" t="n">
        <v>34</v>
      </c>
      <c r="J10" s="5" t="n">
        <f aca="false">G10*H10*I10</f>
        <v>2992</v>
      </c>
      <c r="K10" s="5" t="n">
        <v>1100</v>
      </c>
      <c r="L10" s="5" t="n">
        <v>9</v>
      </c>
      <c r="M10" s="5" t="s">
        <v>98</v>
      </c>
      <c r="N10" s="5" t="s">
        <v>149</v>
      </c>
    </row>
    <row r="11" customFormat="false" ht="26.85" hidden="false" customHeight="false" outlineLevel="0" collapsed="false">
      <c r="A11" s="5" t="s">
        <v>150</v>
      </c>
      <c r="B11" s="5" t="n">
        <v>2</v>
      </c>
      <c r="C11" s="5" t="s">
        <v>127</v>
      </c>
      <c r="D11" s="5" t="s">
        <v>151</v>
      </c>
      <c r="E11" s="5" t="s">
        <v>53</v>
      </c>
      <c r="F11" s="5" t="s">
        <v>128</v>
      </c>
      <c r="G11" s="5" t="n">
        <v>1</v>
      </c>
      <c r="H11" s="5" t="n">
        <v>222</v>
      </c>
      <c r="I11" s="5" t="n">
        <v>13</v>
      </c>
      <c r="J11" s="5" t="n">
        <f aca="false">G11*H11*I11</f>
        <v>2886</v>
      </c>
      <c r="K11" s="5" t="n">
        <v>1100</v>
      </c>
      <c r="L11" s="5" t="n">
        <v>10</v>
      </c>
      <c r="M11" s="5" t="s">
        <v>98</v>
      </c>
      <c r="N11" s="5" t="s">
        <v>152</v>
      </c>
    </row>
    <row r="12" customFormat="false" ht="15" hidden="false" customHeight="false" outlineLevel="0" collapsed="false">
      <c r="A12" s="5" t="s">
        <v>153</v>
      </c>
      <c r="B12" s="5" t="n">
        <v>2</v>
      </c>
      <c r="C12" s="5" t="s">
        <v>127</v>
      </c>
      <c r="D12" s="5" t="s">
        <v>154</v>
      </c>
      <c r="E12" s="5" t="s">
        <v>85</v>
      </c>
      <c r="F12" s="5" t="s">
        <v>128</v>
      </c>
      <c r="G12" s="5" t="n">
        <v>4</v>
      </c>
      <c r="H12" s="5" t="n">
        <v>22</v>
      </c>
      <c r="I12" s="5" t="n">
        <v>34</v>
      </c>
      <c r="J12" s="5" t="n">
        <f aca="false">G12*H12*I12</f>
        <v>2992</v>
      </c>
      <c r="K12" s="5" t="n">
        <v>1100</v>
      </c>
      <c r="L12" s="5" t="n">
        <v>11</v>
      </c>
      <c r="M12" s="5" t="s">
        <v>98</v>
      </c>
      <c r="N12" s="5" t="s">
        <v>155</v>
      </c>
    </row>
    <row r="13" customFormat="false" ht="15" hidden="false" customHeight="false" outlineLevel="0" collapsed="false">
      <c r="A13" s="5" t="s">
        <v>156</v>
      </c>
      <c r="B13" s="5" t="n">
        <v>2</v>
      </c>
      <c r="C13" s="5" t="s">
        <v>127</v>
      </c>
      <c r="D13" s="5" t="s">
        <v>157</v>
      </c>
      <c r="E13" s="5" t="s">
        <v>53</v>
      </c>
      <c r="F13" s="5" t="s">
        <v>128</v>
      </c>
      <c r="G13" s="5" t="n">
        <v>1</v>
      </c>
      <c r="H13" s="5" t="n">
        <v>222</v>
      </c>
      <c r="I13" s="5" t="n">
        <v>13</v>
      </c>
      <c r="J13" s="5" t="n">
        <f aca="false">G13*H13*I13</f>
        <v>2886</v>
      </c>
      <c r="K13" s="5" t="n">
        <v>1100</v>
      </c>
      <c r="L13" s="5" t="n">
        <v>12</v>
      </c>
      <c r="M13" s="5" t="s">
        <v>98</v>
      </c>
      <c r="N13" s="5" t="s">
        <v>155</v>
      </c>
    </row>
    <row r="14" customFormat="false" ht="26.85" hidden="false" customHeight="false" outlineLevel="0" collapsed="false">
      <c r="A14" s="5" t="s">
        <v>158</v>
      </c>
      <c r="B14" s="5" t="n">
        <v>2</v>
      </c>
      <c r="C14" s="5" t="s">
        <v>127</v>
      </c>
      <c r="D14" s="5" t="s">
        <v>159</v>
      </c>
      <c r="E14" s="5" t="s">
        <v>53</v>
      </c>
      <c r="F14" s="5" t="s">
        <v>140</v>
      </c>
      <c r="G14" s="5" t="n">
        <v>1</v>
      </c>
      <c r="H14" s="5" t="n">
        <v>287</v>
      </c>
      <c r="I14" s="5" t="n">
        <v>22</v>
      </c>
      <c r="J14" s="5" t="n">
        <f aca="false">G14*H14*I14</f>
        <v>6314</v>
      </c>
      <c r="K14" s="5" t="n">
        <v>1100</v>
      </c>
      <c r="L14" s="5" t="n">
        <v>13</v>
      </c>
      <c r="M14" s="5" t="s">
        <v>98</v>
      </c>
      <c r="N14" s="5" t="s">
        <v>160</v>
      </c>
    </row>
    <row r="15" customFormat="false" ht="15" hidden="false" customHeight="false" outlineLevel="0" collapsed="false">
      <c r="A15" s="5" t="s">
        <v>161</v>
      </c>
      <c r="B15" s="5" t="n">
        <v>2</v>
      </c>
      <c r="C15" s="5" t="s">
        <v>127</v>
      </c>
      <c r="D15" s="5" t="s">
        <v>162</v>
      </c>
      <c r="E15" s="5" t="s">
        <v>53</v>
      </c>
      <c r="F15" s="5" t="s">
        <v>140</v>
      </c>
      <c r="G15" s="5" t="n">
        <v>1</v>
      </c>
      <c r="H15" s="5" t="n">
        <v>287</v>
      </c>
      <c r="I15" s="5" t="n">
        <v>22</v>
      </c>
      <c r="J15" s="5" t="n">
        <f aca="false">G15*H15*I15</f>
        <v>6314</v>
      </c>
      <c r="K15" s="5" t="n">
        <v>1100</v>
      </c>
      <c r="L15" s="5" t="n">
        <v>14</v>
      </c>
      <c r="M15" s="5" t="s">
        <v>98</v>
      </c>
      <c r="N15" s="5" t="s">
        <v>163</v>
      </c>
    </row>
    <row r="18" customFormat="false" ht="15" hidden="false" customHeight="false" outlineLevel="0" collapsed="false">
      <c r="A18" s="6" t="s">
        <v>164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</row>
  </sheetData>
  <mergeCells count="1">
    <mergeCell ref="A18:N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2"/>
    <col collapsed="false" customWidth="true" hidden="false" outlineLevel="0" max="4" min="4" style="0" width="18"/>
    <col collapsed="false" customWidth="true" hidden="false" outlineLevel="0" max="6" min="5" style="0" width="16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16"/>
    <col collapsed="false" customWidth="true" hidden="false" outlineLevel="0" max="10" min="10" style="0" width="10"/>
    <col collapsed="false" customWidth="true" hidden="false" outlineLevel="0" max="11" min="11" style="0" width="30"/>
  </cols>
  <sheetData>
    <row r="1" customFormat="false" ht="21.75" hidden="false" customHeight="true" outlineLevel="0" collapsed="false">
      <c r="A1" s="4" t="s">
        <v>165</v>
      </c>
      <c r="B1" s="4" t="s">
        <v>166</v>
      </c>
      <c r="C1" s="4" t="s">
        <v>29</v>
      </c>
      <c r="D1" s="4" t="s">
        <v>167</v>
      </c>
      <c r="E1" s="4" t="s">
        <v>168</v>
      </c>
      <c r="F1" s="4" t="s">
        <v>169</v>
      </c>
      <c r="G1" s="4" t="s">
        <v>170</v>
      </c>
      <c r="H1" s="4" t="s">
        <v>171</v>
      </c>
      <c r="I1" s="4" t="s">
        <v>172</v>
      </c>
      <c r="J1" s="4" t="s">
        <v>60</v>
      </c>
      <c r="K1" s="4" t="s">
        <v>48</v>
      </c>
    </row>
    <row r="2" customFormat="false" ht="26.85" hidden="false" customHeight="false" outlineLevel="0" collapsed="false">
      <c r="A2" s="5" t="s">
        <v>57</v>
      </c>
      <c r="B2" s="5" t="s">
        <v>173</v>
      </c>
      <c r="C2" s="5" t="s">
        <v>51</v>
      </c>
      <c r="D2" s="5" t="s">
        <v>174</v>
      </c>
      <c r="E2" s="5" t="s">
        <v>175</v>
      </c>
      <c r="F2" s="5" t="n">
        <v>50000</v>
      </c>
      <c r="G2" s="5" t="s">
        <v>176</v>
      </c>
      <c r="H2" s="5" t="n">
        <v>0</v>
      </c>
      <c r="I2" s="5" t="s">
        <v>177</v>
      </c>
      <c r="J2" s="5" t="s">
        <v>98</v>
      </c>
      <c r="K2" s="5" t="s">
        <v>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70"/>
  </cols>
  <sheetData>
    <row r="1" customFormat="false" ht="21.75" hidden="false" customHeight="true" outlineLevel="0" collapsed="false">
      <c r="A1" s="4" t="s">
        <v>179</v>
      </c>
      <c r="B1" s="4" t="s">
        <v>180</v>
      </c>
      <c r="C1" s="4" t="s">
        <v>181</v>
      </c>
    </row>
    <row r="2" customFormat="false" ht="15" hidden="false" customHeight="false" outlineLevel="0" collapsed="false">
      <c r="A2" s="5" t="s">
        <v>182</v>
      </c>
      <c r="B2" s="5" t="n">
        <v>5</v>
      </c>
      <c r="C2" s="5" t="s">
        <v>183</v>
      </c>
    </row>
    <row r="3" customFormat="false" ht="15" hidden="false" customHeight="false" outlineLevel="0" collapsed="false">
      <c r="A3" s="5" t="s">
        <v>184</v>
      </c>
      <c r="B3" s="5" t="n">
        <v>15</v>
      </c>
      <c r="C3" s="5" t="s">
        <v>185</v>
      </c>
    </row>
    <row r="4" customFormat="false" ht="15" hidden="false" customHeight="false" outlineLevel="0" collapsed="false">
      <c r="A4" s="5" t="s">
        <v>186</v>
      </c>
      <c r="B4" s="5" t="s">
        <v>187</v>
      </c>
      <c r="C4" s="5" t="s">
        <v>188</v>
      </c>
    </row>
    <row r="5" customFormat="false" ht="15" hidden="false" customHeight="false" outlineLevel="0" collapsed="false">
      <c r="A5" s="5" t="s">
        <v>189</v>
      </c>
      <c r="B5" s="5" t="s">
        <v>190</v>
      </c>
      <c r="C5" s="5" t="s">
        <v>191</v>
      </c>
    </row>
    <row r="6" customFormat="false" ht="15" hidden="false" customHeight="false" outlineLevel="0" collapsed="false">
      <c r="A6" s="5" t="s">
        <v>192</v>
      </c>
      <c r="B6" s="5" t="n">
        <v>2</v>
      </c>
      <c r="C6" s="5" t="s">
        <v>193</v>
      </c>
    </row>
    <row r="7" customFormat="false" ht="15" hidden="false" customHeight="false" outlineLevel="0" collapsed="false">
      <c r="A7" s="5" t="s">
        <v>194</v>
      </c>
      <c r="B7" s="5" t="n">
        <v>1</v>
      </c>
      <c r="C7" s="5" t="s">
        <v>195</v>
      </c>
    </row>
    <row r="8" customFormat="false" ht="15" hidden="false" customHeight="false" outlineLevel="0" collapsed="false">
      <c r="A8" s="5" t="s">
        <v>196</v>
      </c>
      <c r="B8" s="5" t="s">
        <v>197</v>
      </c>
      <c r="C8" s="5" t="s">
        <v>198</v>
      </c>
    </row>
    <row r="9" customFormat="false" ht="15" hidden="false" customHeight="false" outlineLevel="0" collapsed="false">
      <c r="A9" s="5" t="s">
        <v>199</v>
      </c>
      <c r="B9" s="5" t="s">
        <v>200</v>
      </c>
      <c r="C9" s="5" t="s">
        <v>201</v>
      </c>
    </row>
    <row r="10" customFormat="false" ht="15" hidden="false" customHeight="false" outlineLevel="0" collapsed="false">
      <c r="A10" s="5" t="s">
        <v>202</v>
      </c>
      <c r="B10" s="5" t="s">
        <v>203</v>
      </c>
      <c r="C10" s="5" t="s">
        <v>204</v>
      </c>
    </row>
    <row r="11" customFormat="false" ht="15" hidden="false" customHeight="false" outlineLevel="0" collapsed="false">
      <c r="A11" s="5" t="s">
        <v>205</v>
      </c>
      <c r="B11" s="5" t="s">
        <v>206</v>
      </c>
      <c r="C11" s="5" t="s">
        <v>207</v>
      </c>
    </row>
    <row r="12" customFormat="false" ht="15" hidden="false" customHeight="false" outlineLevel="0" collapsed="false">
      <c r="A12" s="5" t="s">
        <v>208</v>
      </c>
      <c r="B12" s="5" t="n">
        <v>3</v>
      </c>
      <c r="C12" s="5" t="s">
        <v>209</v>
      </c>
    </row>
    <row r="13" customFormat="false" ht="26.85" hidden="false" customHeight="false" outlineLevel="0" collapsed="false">
      <c r="A13" s="5" t="s">
        <v>210</v>
      </c>
      <c r="B13" s="5" t="n">
        <v>2</v>
      </c>
      <c r="C13" s="5" t="s">
        <v>209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20"/>
    <col collapsed="false" customWidth="true" hidden="false" outlineLevel="0" max="6" min="6" style="0" width="16"/>
  </cols>
  <sheetData>
    <row r="1" customFormat="false" ht="21.75" hidden="false" customHeight="true" outlineLevel="0" collapsed="false">
      <c r="A1" s="4" t="s">
        <v>62</v>
      </c>
      <c r="B1" s="4" t="s">
        <v>112</v>
      </c>
      <c r="C1" s="4" t="s">
        <v>211</v>
      </c>
      <c r="D1" s="4" t="s">
        <v>212</v>
      </c>
      <c r="E1" s="4" t="s">
        <v>213</v>
      </c>
      <c r="F1" s="4" t="s">
        <v>214</v>
      </c>
    </row>
    <row r="3" customFormat="false" ht="15" hidden="false" customHeight="false" outlineLevel="0" collapsed="false">
      <c r="A3" s="6" t="s">
        <v>215</v>
      </c>
      <c r="B3" s="6"/>
      <c r="C3" s="6"/>
      <c r="D3" s="6"/>
      <c r="E3" s="6"/>
      <c r="F3" s="6"/>
    </row>
  </sheetData>
  <mergeCells count="1">
    <mergeCell ref="A3:F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8"/>
    <col collapsed="false" customWidth="true" hidden="false" outlineLevel="0" max="3" min="3" style="0" width="18"/>
    <col collapsed="false" customWidth="true" hidden="false" outlineLevel="0" max="4" min="4" style="0" width="28"/>
    <col collapsed="false" customWidth="true" hidden="false" outlineLevel="0" max="5" min="5" style="0" width="16"/>
    <col collapsed="false" customWidth="true" hidden="false" outlineLevel="0" max="6" min="6" style="0" width="36"/>
    <col collapsed="false" customWidth="true" hidden="false" outlineLevel="0" max="7" min="7" style="0" width="30"/>
    <col collapsed="false" customWidth="true" hidden="false" outlineLevel="0" max="8" min="8" style="0" width="10"/>
    <col collapsed="false" customWidth="true" hidden="false" outlineLevel="0" max="9" min="9" style="0" width="14"/>
  </cols>
  <sheetData>
    <row r="1" customFormat="false" ht="21.75" hidden="false" customHeight="true" outlineLevel="0" collapsed="false">
      <c r="A1" s="4" t="s">
        <v>216</v>
      </c>
      <c r="B1" s="4" t="s">
        <v>93</v>
      </c>
      <c r="C1" s="4" t="s">
        <v>63</v>
      </c>
      <c r="D1" s="4" t="s">
        <v>217</v>
      </c>
      <c r="E1" s="4" t="s">
        <v>218</v>
      </c>
      <c r="F1" s="4" t="s">
        <v>219</v>
      </c>
      <c r="G1" s="4" t="s">
        <v>48</v>
      </c>
      <c r="H1" s="4" t="s">
        <v>60</v>
      </c>
      <c r="I1" s="4" t="s">
        <v>94</v>
      </c>
    </row>
    <row r="3" customFormat="false" ht="15" hidden="false" customHeight="false" outlineLevel="0" collapsed="false">
      <c r="A3" s="6" t="s">
        <v>220</v>
      </c>
      <c r="B3" s="6"/>
      <c r="C3" s="6"/>
      <c r="D3" s="6"/>
      <c r="E3" s="6"/>
      <c r="F3" s="6"/>
      <c r="G3" s="6"/>
      <c r="H3" s="6"/>
      <c r="I3" s="6"/>
    </row>
  </sheetData>
  <mergeCells count="1">
    <mergeCell ref="A3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28"/>
    <col collapsed="false" customWidth="true" hidden="false" outlineLevel="0" max="5" min="5" style="0" width="22"/>
    <col collapsed="false" customWidth="true" hidden="false" outlineLevel="0" max="7" min="6" style="0" width="12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24"/>
    <col collapsed="false" customWidth="true" hidden="false" outlineLevel="0" max="11" min="11" style="0" width="18"/>
    <col collapsed="false" customWidth="true" hidden="false" outlineLevel="0" max="12" min="12" style="0" width="30"/>
  </cols>
  <sheetData>
    <row r="1" customFormat="false" ht="21.75" hidden="false" customHeight="true" outlineLevel="0" collapsed="false">
      <c r="A1" s="4" t="s">
        <v>221</v>
      </c>
      <c r="B1" s="4" t="s">
        <v>222</v>
      </c>
      <c r="C1" s="4" t="s">
        <v>216</v>
      </c>
      <c r="D1" s="4" t="s">
        <v>223</v>
      </c>
      <c r="E1" s="4" t="s">
        <v>29</v>
      </c>
      <c r="F1" s="4" t="s">
        <v>170</v>
      </c>
      <c r="G1" s="4" t="s">
        <v>224</v>
      </c>
      <c r="H1" s="4" t="s">
        <v>225</v>
      </c>
      <c r="I1" s="4" t="s">
        <v>226</v>
      </c>
      <c r="J1" s="4" t="s">
        <v>227</v>
      </c>
      <c r="K1" s="4" t="s">
        <v>78</v>
      </c>
      <c r="L1" s="4" t="s">
        <v>48</v>
      </c>
    </row>
    <row r="3" customFormat="false" ht="15" hidden="false" customHeight="false" outlineLevel="0" collapsed="false">
      <c r="A3" s="6" t="s">
        <v>228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</row>
  </sheetData>
  <mergeCells count="1">
    <mergeCell ref="A3:L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2026-04-28T12:41:54Z</dcterms:created>
  <dc:creator>openpyxl</dc:creator>
  <dc:description/>
  <dc:language>en-US</dc:language>
  <cp:lastModifiedBy/>
  <dcterms:modified xsi:type="dcterms:W3CDTF">2026-04-28T12:41:54Z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