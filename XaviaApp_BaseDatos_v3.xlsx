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Github\xavia\"/>
    </mc:Choice>
  </mc:AlternateContent>
  <xr:revisionPtr revIDLastSave="0" documentId="13_ncr:1_{69052604-D00B-4070-BC8C-CD31E724CD4A}" xr6:coauthVersionLast="47" xr6:coauthVersionMax="47" xr10:uidLastSave="{00000000-0000-0000-0000-000000000000}"/>
  <bookViews>
    <workbookView xWindow="-110" yWindow="-110" windowWidth="38620" windowHeight="21100" tabRatio="500" xr2:uid="{00000000-000D-0000-FFFF-FFFF00000000}"/>
  </bookViews>
  <sheets>
    <sheet name="LEEME" sheetId="1" r:id="rId1"/>
    <sheet name="Lotes" sheetId="2" r:id="rId2"/>
    <sheet name="Movimientos" sheetId="3" r:id="rId3"/>
    <sheet name="Usuarios" sheetId="4" r:id="rId4"/>
    <sheet name="Variedades" sheetId="5" r:id="rId5"/>
    <sheet name="Ubicaciones" sheetId="6" r:id="rId6"/>
    <sheet name="Semillas" sheetId="7" r:id="rId7"/>
    <sheet name="Configuracion" sheetId="8" r:id="rId8"/>
    <sheet name="HistoricoOcupacion" sheetId="9" r:id="rId9"/>
    <sheet name="Clientes" sheetId="10" r:id="rId10"/>
    <sheet name="Ventas" sheetId="11" r:id="rId1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5" i="6" l="1"/>
  <c r="J14" i="6"/>
  <c r="J13" i="6"/>
  <c r="J12" i="6"/>
  <c r="J11" i="6"/>
  <c r="J10" i="6"/>
  <c r="J9" i="6"/>
  <c r="J8" i="6"/>
  <c r="J7" i="6"/>
  <c r="J6" i="6"/>
  <c r="J5" i="6"/>
  <c r="J4" i="6"/>
  <c r="J3" i="6"/>
  <c r="J2" i="6"/>
</calcChain>
</file>

<file path=xl/sharedStrings.xml><?xml version="1.0" encoding="utf-8"?>
<sst xmlns="http://schemas.openxmlformats.org/spreadsheetml/2006/main" count="306" uniqueCount="218">
  <si>
    <t>XaviaApp · Base de datos v3 (final)</t>
  </si>
  <si>
    <t>Este archivo es la base de datos de XaviaApp.</t>
  </si>
  <si>
    <t>Subilo a Google Drive y abrilo como Hojas de calculo de Google.</t>
  </si>
  <si>
    <t>Despues conectalo a la app siguiendo el README del proyecto.</t>
  </si>
  <si>
    <t>── PESTANAS ──</t>
  </si>
  <si>
    <t xml:space="preserve">  Lotes              Estado actual de cada lote (vivo).</t>
  </si>
  <si>
    <t xml:space="preserve">  Movimientos        Historial completo. Una fila por cada cambio de fase, trasplante o cosecha.</t>
  </si>
  <si>
    <t xml:space="preserve">  Usuarios           Admin (todo) y Usuario (todo menos borrar). Los password_hash los genera la app.</t>
  </si>
  <si>
    <t xml:space="preserve">  Variedades         Lechuga Crespa, Hoja de Roble, Rucula, Albahaca + unidad de venta.</t>
  </si>
  <si>
    <t xml:space="preserve">  Ubicaciones        Naves, plantineras, mesadas. Pre-cargadas con valores reales de Marcelo.</t>
  </si>
  <si>
    <t xml:space="preserve">  Semillas           Catalogo de batches de semilla por proveedor y variedad.</t>
  </si>
  <si>
    <t xml:space="preserve">  Configuracion      Umbrales, prefijos, prox. correlativos de id de lote.</t>
  </si>
  <si>
    <t xml:space="preserve">  HistoricoOcupacion Snapshot diario por mesada para ver evolucion de huecos.</t>
  </si>
  <si>
    <t xml:space="preserve">  Clientes           (Fase 2) Base de clientes para el modulo de Ventas.</t>
  </si>
  <si>
    <t xml:space="preserve">  Ventas             (Fase 2) Registro de ventas con trazabilidad de lotes.</t>
  </si>
  <si>
    <t>── REGLAS IMPORTANTES ──</t>
  </si>
  <si>
    <t xml:space="preserve">  1. NO cambies los nombres de las columnas (la app las busca por nombre exacto).</t>
  </si>
  <si>
    <t xml:space="preserve">  2. Si queres agregar columnas nuevas, agregalas a la derecha del todo.</t>
  </si>
  <si>
    <t xml:space="preserve">  3. La fila de ejemplo del lote N1L1-001 la podes borrar cuando arranques a cargar los reales.</t>
  </si>
  <si>
    <t xml:space="preserve">  4. Las fotos se guardan en Google Drive y aca queda solo el link.</t>
  </si>
  <si>
    <t xml:space="preserve">  5. id_lote: arranca con N1- o N2- al sembrar y se completa al trasplantar (ej: N1L1-007).</t>
  </si>
  <si>
    <t>── CAPACIDAD TOTAL INSTALADA ──</t>
  </si>
  <si>
    <t xml:space="preserve">  Nave 1 (500 m²): 16.558 posiciones | 33,1 plantas/m² teoricas</t>
  </si>
  <si>
    <t xml:space="preserve">  Nave 2 (1.100 m²): 24.384 posiciones | 22,2 plantas/m² teoricas</t>
  </si>
  <si>
    <t xml:space="preserve">  Total: 40.942 posiciones</t>
  </si>
  <si>
    <t>── PENDIENTE ──</t>
  </si>
  <si>
    <t xml:space="preserve">  Capacidad de plantineras (Nave 1 y Nave 2): pendiente de confirmar con Marcelo.</t>
  </si>
  <si>
    <t xml:space="preserve">  Mientras tanto se cargo un valor estimado editable desde Admin.</t>
  </si>
  <si>
    <t>id_lote</t>
  </si>
  <si>
    <t>variedad</t>
  </si>
  <si>
    <t>fecha_siembra</t>
  </si>
  <si>
    <t>plantines_iniciales</t>
  </si>
  <si>
    <t>fase_actual</t>
  </si>
  <si>
    <t>ubicacion_actual</t>
  </si>
  <si>
    <t>tubos_ocupados_actual</t>
  </si>
  <si>
    <t>plantas_estimadas_actual</t>
  </si>
  <si>
    <t>fecha_ult_movimiento</t>
  </si>
  <si>
    <t>fecha_cosecha</t>
  </si>
  <si>
    <t>unidades_cosechadas</t>
  </si>
  <si>
    <t>plantas_por_unidad_real</t>
  </si>
  <si>
    <t>descarte_reportado</t>
  </si>
  <si>
    <t>peso_muestra_kg</t>
  </si>
  <si>
    <t>peso_total_estimado_kg</t>
  </si>
  <si>
    <t>usuario_creador</t>
  </si>
  <si>
    <t>foto_url</t>
  </si>
  <si>
    <t>lote_origen</t>
  </si>
  <si>
    <t>semilla_id</t>
  </si>
  <si>
    <t>destino_cosecha</t>
  </si>
  <si>
    <t>notas</t>
  </si>
  <si>
    <t>estado</t>
  </si>
  <si>
    <t>Lechuga Crespa</t>
  </si>
  <si>
    <t>fase_2</t>
  </si>
  <si>
    <t>Nave 1 - Mesada Lechuga 1 (F2)</t>
  </si>
  <si>
    <t>admin@xavia.com</t>
  </si>
  <si>
    <t>SEM-2026-03-L7</t>
  </si>
  <si>
    <t>planta</t>
  </si>
  <si>
    <t>activo</t>
  </si>
  <si>
    <t>id_movimiento</t>
  </si>
  <si>
    <t>fecha</t>
  </si>
  <si>
    <t>tipo</t>
  </si>
  <si>
    <t>fase_origen</t>
  </si>
  <si>
    <t>fase_destino</t>
  </si>
  <si>
    <t>ubicacion_origen</t>
  </si>
  <si>
    <t>ubicacion_destino</t>
  </si>
  <si>
    <t>tubos_ocupados</t>
  </si>
  <si>
    <t>plantas_estimadas</t>
  </si>
  <si>
    <t>tubos_consumidos_bandejas</t>
  </si>
  <si>
    <t>bandejas_armadas</t>
  </si>
  <si>
    <t>descarte_calculado</t>
  </si>
  <si>
    <t>desvio_porcentaje</t>
  </si>
  <si>
    <t>nivel_alerta</t>
  </si>
  <si>
    <t>alerta_revisada</t>
  </si>
  <si>
    <t>alerta_comentario</t>
  </si>
  <si>
    <t>cosechador</t>
  </si>
  <si>
    <t>usuario</t>
  </si>
  <si>
    <t>plantin</t>
  </si>
  <si>
    <t>Nave 1 - Plantinera</t>
  </si>
  <si>
    <t>fase_1</t>
  </si>
  <si>
    <t>Nave 1 - Mesada Lechuga 1 (F1)</t>
  </si>
  <si>
    <t>email</t>
  </si>
  <si>
    <t>password_hash</t>
  </si>
  <si>
    <t>rol</t>
  </si>
  <si>
    <t>nombre</t>
  </si>
  <si>
    <t>fecha_alta</t>
  </si>
  <si>
    <t>PENDIENTE_GENERAR_DESDE_APP</t>
  </si>
  <si>
    <t>admin</t>
  </si>
  <si>
    <t>Administrador</t>
  </si>
  <si>
    <t>SI</t>
  </si>
  <si>
    <t>2026-04-28</t>
  </si>
  <si>
    <t>El password_hash se genera al crear el usuario desde la app (la app usa bcrypt). Nunca escribas contrasenas en texto plano aca.</t>
  </si>
  <si>
    <t>fases_aplicables</t>
  </si>
  <si>
    <t>dias_estimados_cosecha</t>
  </si>
  <si>
    <t>unidad_venta</t>
  </si>
  <si>
    <t>plantas_por_unidad_esperado</t>
  </si>
  <si>
    <t>imagen_url</t>
  </si>
  <si>
    <t>plantin,fase_1,fase_2</t>
  </si>
  <si>
    <t>Lechuga Hoja de Roble</t>
  </si>
  <si>
    <t>Rucula</t>
  </si>
  <si>
    <t>plantin,fase_2</t>
  </si>
  <si>
    <t>paquete</t>
  </si>
  <si>
    <t>Albahaca</t>
  </si>
  <si>
    <t>id_ubicacion</t>
  </si>
  <si>
    <t>nave</t>
  </si>
  <si>
    <t>sector_fase</t>
  </si>
  <si>
    <t>variedad_asignada</t>
  </si>
  <si>
    <t>modulos</t>
  </si>
  <si>
    <t>perfiles_por_modulo</t>
  </si>
  <si>
    <t>orificios_por_perfil</t>
  </si>
  <si>
    <t>capacidad_calculada</t>
  </si>
  <si>
    <t>metros_cuadrados</t>
  </si>
  <si>
    <t>orden_visual</t>
  </si>
  <si>
    <t>N1-PLANT</t>
  </si>
  <si>
    <t>plantinera</t>
  </si>
  <si>
    <t>mixta</t>
  </si>
  <si>
    <t>Pendiente confirmar capacidad real</t>
  </si>
  <si>
    <t>N1-ML1-F1</t>
  </si>
  <si>
    <t>mesada</t>
  </si>
  <si>
    <t>lechuga</t>
  </si>
  <si>
    <t>2 modulos x 29 perfiles x 42 orificios</t>
  </si>
  <si>
    <t>N1-ML1-F2</t>
  </si>
  <si>
    <t>147 perfiles totales (9 mod x 15 + 1 final 12) x 14 orif</t>
  </si>
  <si>
    <t>N1-ML2-F1</t>
  </si>
  <si>
    <t>Nave 1 - Mesada Lechuga 2 (F1)</t>
  </si>
  <si>
    <t>1 modulo x 29 perfiles x 42 orificios</t>
  </si>
  <si>
    <t>N1-ML2-F2</t>
  </si>
  <si>
    <t>Nave 1 - Mesada Lechuga 2 (F2)</t>
  </si>
  <si>
    <t>132 perfiles (8 mod x 15 + 1 final 12) x 14 orif</t>
  </si>
  <si>
    <t>N1-MR1</t>
  </si>
  <si>
    <t>Nave 1 - Mesada Rucula 1</t>
  </si>
  <si>
    <t>rucula</t>
  </si>
  <si>
    <t>247 perfiles (9 mod x 25 + 1 final 22) x 22 pos</t>
  </si>
  <si>
    <t>N1-MR2</t>
  </si>
  <si>
    <t>Nave 1 - Mesada Rucula 2</t>
  </si>
  <si>
    <t>Mesada transformada. Capacidad real: 3.564 (suma 2 sub-bloques: 2.714 + 850)</t>
  </si>
  <si>
    <t>N2-PLANT</t>
  </si>
  <si>
    <t>Nave 2 - Plantinera</t>
  </si>
  <si>
    <t>N2-ML1-F1</t>
  </si>
  <si>
    <t>Nave 2 - Mesada Lechuga 1 (F1)</t>
  </si>
  <si>
    <t>4 mod x 22 perfiles x 34 orificios</t>
  </si>
  <si>
    <t>N2-ML1-F2</t>
  </si>
  <si>
    <t>Nave 2 - Mesada Lechuga 1 (F2)</t>
  </si>
  <si>
    <t>222 perfiles (24 mod x 9 + 6 final) x 13 orif</t>
  </si>
  <si>
    <t>N2-ML2-F1</t>
  </si>
  <si>
    <t>Nave 2 - Mesada Lechuga 2 (F1)</t>
  </si>
  <si>
    <t>Idem Mesada Lechuga 1</t>
  </si>
  <si>
    <t>N2-ML2-F2</t>
  </si>
  <si>
    <t>Nave 2 - Mesada Lechuga 2 (F2)</t>
  </si>
  <si>
    <t>N2-MR1</t>
  </si>
  <si>
    <t>Nave 2 - Mesada Rucula 1</t>
  </si>
  <si>
    <t>287 perfiles (28 mod x 10 + 7 final) x 22 pos</t>
  </si>
  <si>
    <t>N2-MR2</t>
  </si>
  <si>
    <t>Nave 2 - Mesada Rucula 2</t>
  </si>
  <si>
    <t>Idem Mesada Rucula 1</t>
  </si>
  <si>
    <t>Capacidades pre-cargadas con info de Marcelo. Total: 40.942 posiciones (N1: 16.558 | N2: 24.384). Las plantineras tienen valor estimado, ajustar cuando se confirme. La Mesada Rucula 2 de N1 tiene una formula compleja por dos sub-bloques: representamos su capacidad total (3.564) en la formula equivalente (168 perfiles * 21,21 pos promedio).</t>
  </si>
  <si>
    <t>id_semilla</t>
  </si>
  <si>
    <t>batch</t>
  </si>
  <si>
    <t>proveedor</t>
  </si>
  <si>
    <t>fecha_recepcion</t>
  </si>
  <si>
    <t>cantidad_recibida</t>
  </si>
  <si>
    <t>unidad</t>
  </si>
  <si>
    <t>precio_total</t>
  </si>
  <si>
    <t>stock_estimado</t>
  </si>
  <si>
    <t>2026-03-L7</t>
  </si>
  <si>
    <t>Seminis</t>
  </si>
  <si>
    <t>2026-03-10</t>
  </si>
  <si>
    <t>semillas</t>
  </si>
  <si>
    <t>normal</t>
  </si>
  <si>
    <t>Batch de ejemplo</t>
  </si>
  <si>
    <t>clave</t>
  </si>
  <si>
    <t>valor</t>
  </si>
  <si>
    <t>descripcion</t>
  </si>
  <si>
    <t>umbral_alerta_amarilla</t>
  </si>
  <si>
    <t>Porcentaje desvio para marcar amarilla</t>
  </si>
  <si>
    <t>umbral_alerta_roja</t>
  </si>
  <si>
    <t>Porcentaje desvio para marcar roja</t>
  </si>
  <si>
    <t>prefijo_lote_nave1</t>
  </si>
  <si>
    <t>N1</t>
  </si>
  <si>
    <t>Prefijo de id_lote para Nave 1</t>
  </si>
  <si>
    <t>prefijo_lote_nave2</t>
  </si>
  <si>
    <t>N2</t>
  </si>
  <si>
    <t>Prefijo de id_lote para Nave 2</t>
  </si>
  <si>
    <t>proximo_correlativo_n1</t>
  </si>
  <si>
    <t>Siguiente nro correlativo para lote nuevo en N1</t>
  </si>
  <si>
    <t>proximo_correlativo_n2</t>
  </si>
  <si>
    <t>Siguiente nro correlativo para lote nuevo en N2</t>
  </si>
  <si>
    <t>codigo_mesada_lechuga_1</t>
  </si>
  <si>
    <t>L1</t>
  </si>
  <si>
    <t>Sufijo de id para Mesada Lechuga 1</t>
  </si>
  <si>
    <t>codigo_mesada_lechuga_2</t>
  </si>
  <si>
    <t>L2</t>
  </si>
  <si>
    <t>Sufijo de id para Mesada Lechuga 2</t>
  </si>
  <si>
    <t>codigo_mesada_rucula_1</t>
  </si>
  <si>
    <t>R1</t>
  </si>
  <si>
    <t>Sufijo de id para Mesada Rucula 1</t>
  </si>
  <si>
    <t>codigo_mesada_rucula_2</t>
  </si>
  <si>
    <t>R2</t>
  </si>
  <si>
    <t>Sufijo de id para Mesada Rucula 2</t>
  </si>
  <si>
    <t>plantas_por_paquete_rucula_referencia</t>
  </si>
  <si>
    <t>Divisor de referencia para mostrar paquetes en proyeccion</t>
  </si>
  <si>
    <t>plantas_por_paquete_albahaca_referencia</t>
  </si>
  <si>
    <t>plantas_vivas</t>
  </si>
  <si>
    <t>capacidad</t>
  </si>
  <si>
    <t>ocupacion_porcentaje</t>
  </si>
  <si>
    <t>huecos_libres</t>
  </si>
  <si>
    <t>La app escribe automaticamente un snapshot diario por mesada. Sirve para ver tendencia 30 dias.</t>
  </si>
  <si>
    <t>id_cliente</t>
  </si>
  <si>
    <t>contacto</t>
  </si>
  <si>
    <t>telefono</t>
  </si>
  <si>
    <t>direccion</t>
  </si>
  <si>
    <t>Pestana preparada para Ventas (fase 2). Podes empezar a cargar clientes desde ya.</t>
  </si>
  <si>
    <t>id_venta</t>
  </si>
  <si>
    <t>fecha_entrega</t>
  </si>
  <si>
    <t>cliente_nombre</t>
  </si>
  <si>
    <t>cantidad</t>
  </si>
  <si>
    <t>precio_por_unidad</t>
  </si>
  <si>
    <t>total</t>
  </si>
  <si>
    <t>lotes_origen</t>
  </si>
  <si>
    <t>Pestana preparada para fase 2. La unidad puede ser planta, paquete o bandeja segun la variedad.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</si>
</sst>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8"/>
      <color rgb="FF059669"/>
      <name val="Arial"/>
      <charset val="1"/>
    </font>
    <font>
      <sz val="11"/>
      <name val="Arial"/>
      <charset val="1"/>
    </font>
    <font>
      <b/>
      <sz val="12"/>
      <color rgb="FF059669"/>
      <name val="Arial"/>
      <charset val="1"/>
    </font>
    <font>
      <b/>
      <sz val="11"/>
      <color rgb="FFFFFFFF"/>
      <name val="Arial"/>
      <charset val="1"/>
    </font>
    <font>
      <i/>
      <sz val="10"/>
      <color rgb="FF6B728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059669"/>
        <bgColor rgb="FF008080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5" fillId="0" borderId="0" xfId="0" applyFont="1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59669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7"/>
  <sheetViews>
    <sheetView tabSelected="1" zoomScaleNormal="100" workbookViewId="0">
      <selection activeCell="A42" sqref="A42"/>
    </sheetView>
  </sheetViews>
  <sheetFormatPr baseColWidth="10" defaultColWidth="8.6328125" defaultRowHeight="14.5" x14ac:dyDescent="0.35"/>
  <cols>
    <col min="1" max="1" width="110" customWidth="1"/>
  </cols>
  <sheetData>
    <row r="1" spans="1:1" ht="23" x14ac:dyDescent="0.5">
      <c r="A1" s="2" t="s">
        <v>0</v>
      </c>
    </row>
    <row r="2" spans="1:1" x14ac:dyDescent="0.35">
      <c r="A2" s="3"/>
    </row>
    <row r="3" spans="1:1" x14ac:dyDescent="0.35">
      <c r="A3" s="3" t="s">
        <v>1</v>
      </c>
    </row>
    <row r="4" spans="1:1" x14ac:dyDescent="0.35">
      <c r="A4" s="3" t="s">
        <v>2</v>
      </c>
    </row>
    <row r="5" spans="1:1" x14ac:dyDescent="0.35">
      <c r="A5" s="3" t="s">
        <v>3</v>
      </c>
    </row>
    <row r="6" spans="1:1" x14ac:dyDescent="0.35">
      <c r="A6" s="3"/>
    </row>
    <row r="7" spans="1:1" ht="15.5" x14ac:dyDescent="0.35">
      <c r="A7" s="4" t="s">
        <v>4</v>
      </c>
    </row>
    <row r="8" spans="1:1" x14ac:dyDescent="0.35">
      <c r="A8" s="3"/>
    </row>
    <row r="9" spans="1:1" x14ac:dyDescent="0.35">
      <c r="A9" s="3" t="s">
        <v>5</v>
      </c>
    </row>
    <row r="10" spans="1:1" x14ac:dyDescent="0.35">
      <c r="A10" s="3" t="s">
        <v>6</v>
      </c>
    </row>
    <row r="11" spans="1:1" x14ac:dyDescent="0.35">
      <c r="A11" s="3" t="s">
        <v>7</v>
      </c>
    </row>
    <row r="12" spans="1:1" x14ac:dyDescent="0.35">
      <c r="A12" s="3" t="s">
        <v>8</v>
      </c>
    </row>
    <row r="13" spans="1:1" x14ac:dyDescent="0.35">
      <c r="A13" s="3" t="s">
        <v>9</v>
      </c>
    </row>
    <row r="14" spans="1:1" x14ac:dyDescent="0.35">
      <c r="A14" s="3" t="s">
        <v>10</v>
      </c>
    </row>
    <row r="15" spans="1:1" x14ac:dyDescent="0.35">
      <c r="A15" s="3" t="s">
        <v>11</v>
      </c>
    </row>
    <row r="16" spans="1:1" x14ac:dyDescent="0.35">
      <c r="A16" s="3" t="s">
        <v>12</v>
      </c>
    </row>
    <row r="17" spans="1:1" x14ac:dyDescent="0.35">
      <c r="A17" s="3" t="s">
        <v>13</v>
      </c>
    </row>
    <row r="18" spans="1:1" x14ac:dyDescent="0.35">
      <c r="A18" s="3" t="s">
        <v>14</v>
      </c>
    </row>
    <row r="19" spans="1:1" x14ac:dyDescent="0.35">
      <c r="A19" s="3"/>
    </row>
    <row r="20" spans="1:1" ht="15.5" x14ac:dyDescent="0.35">
      <c r="A20" s="4" t="s">
        <v>15</v>
      </c>
    </row>
    <row r="21" spans="1:1" x14ac:dyDescent="0.35">
      <c r="A21" s="3"/>
    </row>
    <row r="22" spans="1:1" x14ac:dyDescent="0.35">
      <c r="A22" s="3" t="s">
        <v>16</v>
      </c>
    </row>
    <row r="23" spans="1:1" x14ac:dyDescent="0.35">
      <c r="A23" s="3" t="s">
        <v>17</v>
      </c>
    </row>
    <row r="24" spans="1:1" x14ac:dyDescent="0.35">
      <c r="A24" s="3" t="s">
        <v>18</v>
      </c>
    </row>
    <row r="25" spans="1:1" x14ac:dyDescent="0.35">
      <c r="A25" s="3" t="s">
        <v>19</v>
      </c>
    </row>
    <row r="26" spans="1:1" x14ac:dyDescent="0.35">
      <c r="A26" s="3" t="s">
        <v>20</v>
      </c>
    </row>
    <row r="27" spans="1:1" x14ac:dyDescent="0.35">
      <c r="A27" s="3"/>
    </row>
    <row r="28" spans="1:1" ht="15.5" x14ac:dyDescent="0.35">
      <c r="A28" s="4" t="s">
        <v>21</v>
      </c>
    </row>
    <row r="29" spans="1:1" x14ac:dyDescent="0.35">
      <c r="A29" s="3"/>
    </row>
    <row r="30" spans="1:1" x14ac:dyDescent="0.35">
      <c r="A30" s="3" t="s">
        <v>22</v>
      </c>
    </row>
    <row r="31" spans="1:1" x14ac:dyDescent="0.35">
      <c r="A31" s="3" t="s">
        <v>23</v>
      </c>
    </row>
    <row r="32" spans="1:1" x14ac:dyDescent="0.35">
      <c r="A32" s="3" t="s">
        <v>24</v>
      </c>
    </row>
    <row r="33" spans="1:1" x14ac:dyDescent="0.35">
      <c r="A33" s="3"/>
    </row>
    <row r="34" spans="1:1" ht="15.5" x14ac:dyDescent="0.35">
      <c r="A34" s="4" t="s">
        <v>25</v>
      </c>
    </row>
    <row r="35" spans="1:1" x14ac:dyDescent="0.35">
      <c r="A35" s="3"/>
    </row>
    <row r="36" spans="1:1" x14ac:dyDescent="0.35">
      <c r="A36" s="3" t="s">
        <v>26</v>
      </c>
    </row>
    <row r="37" spans="1:1" x14ac:dyDescent="0.35">
      <c r="A37" s="3" t="s">
        <v>27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"/>
  <sheetViews>
    <sheetView zoomScaleNormal="100" workbookViewId="0">
      <pane ySplit="1" topLeftCell="A2" activePane="bottomLeft" state="frozen"/>
      <selection pane="bottomLeft" activeCell="A2" sqref="A2:XFD2"/>
    </sheetView>
  </sheetViews>
  <sheetFormatPr baseColWidth="10" defaultColWidth="8.6328125" defaultRowHeight="14.5" x14ac:dyDescent="0.35"/>
  <cols>
    <col min="1" max="1" width="12" customWidth="1"/>
    <col min="2" max="2" width="22" customWidth="1"/>
    <col min="3" max="3" width="14" customWidth="1"/>
    <col min="4" max="4" width="18" customWidth="1"/>
    <col min="5" max="5" width="14" customWidth="1"/>
    <col min="6" max="6" width="32" customWidth="1"/>
    <col min="7" max="9" width="18" customWidth="1"/>
    <col min="10" max="10" width="14" customWidth="1"/>
    <col min="11" max="11" width="16" customWidth="1"/>
    <col min="12" max="12" width="18" customWidth="1"/>
    <col min="13" max="13" width="16" customWidth="1"/>
    <col min="14" max="14" width="15" customWidth="1"/>
    <col min="15" max="15" width="18" customWidth="1"/>
    <col min="16" max="16" width="22" customWidth="1"/>
    <col min="17" max="17" width="35" customWidth="1"/>
    <col min="18" max="18" width="14" customWidth="1"/>
    <col min="19" max="19" width="18" customWidth="1"/>
    <col min="20" max="20" width="16" customWidth="1"/>
    <col min="21" max="21" width="30" customWidth="1"/>
    <col min="22" max="22" width="12" customWidth="1"/>
  </cols>
  <sheetData>
    <row r="1" spans="1:22" ht="21.75" customHeight="1" x14ac:dyDescent="0.35">
      <c r="A1" s="5" t="s">
        <v>28</v>
      </c>
      <c r="B1" s="5" t="s">
        <v>29</v>
      </c>
      <c r="C1" s="5" t="s">
        <v>30</v>
      </c>
      <c r="D1" s="5" t="s">
        <v>31</v>
      </c>
      <c r="E1" s="5" t="s">
        <v>32</v>
      </c>
      <c r="F1" s="5" t="s">
        <v>33</v>
      </c>
      <c r="G1" s="5" t="s">
        <v>34</v>
      </c>
      <c r="H1" s="5" t="s">
        <v>35</v>
      </c>
      <c r="I1" s="5" t="s">
        <v>36</v>
      </c>
      <c r="J1" s="5" t="s">
        <v>37</v>
      </c>
      <c r="K1" s="5" t="s">
        <v>38</v>
      </c>
      <c r="L1" s="5" t="s">
        <v>39</v>
      </c>
      <c r="M1" s="5" t="s">
        <v>40</v>
      </c>
      <c r="N1" s="5" t="s">
        <v>41</v>
      </c>
      <c r="O1" s="5" t="s">
        <v>42</v>
      </c>
      <c r="P1" s="5" t="s">
        <v>43</v>
      </c>
      <c r="Q1" s="5" t="s">
        <v>44</v>
      </c>
      <c r="R1" s="5" t="s">
        <v>45</v>
      </c>
      <c r="S1" s="5" t="s">
        <v>46</v>
      </c>
      <c r="T1" s="5" t="s">
        <v>47</v>
      </c>
      <c r="U1" s="5" t="s">
        <v>48</v>
      </c>
      <c r="V1" s="5" t="s">
        <v>49</v>
      </c>
    </row>
    <row r="2" spans="1:22" x14ac:dyDescent="0.3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4"/>
  <sheetViews>
    <sheetView zoomScaleNormal="100" workbookViewId="0">
      <pane ySplit="1" topLeftCell="A2" activePane="bottomLeft" state="frozen"/>
      <selection pane="bottomLeft" activeCell="A2" sqref="A2:XFD4"/>
    </sheetView>
  </sheetViews>
  <sheetFormatPr baseColWidth="10" defaultColWidth="8.6328125" defaultRowHeight="14.5" x14ac:dyDescent="0.35"/>
  <cols>
    <col min="1" max="1" width="14" customWidth="1"/>
    <col min="2" max="2" width="12" customWidth="1"/>
    <col min="3" max="4" width="14" customWidth="1"/>
    <col min="5" max="6" width="13" customWidth="1"/>
    <col min="7" max="8" width="30" customWidth="1"/>
    <col min="9" max="9" width="14" customWidth="1"/>
    <col min="10" max="11" width="16" customWidth="1"/>
    <col min="12" max="12" width="18" customWidth="1"/>
    <col min="13" max="13" width="20" customWidth="1"/>
    <col min="14" max="14" width="18" customWidth="1"/>
    <col min="15" max="15" width="16" customWidth="1"/>
    <col min="16" max="16" width="18" customWidth="1"/>
    <col min="17" max="17" width="16" customWidth="1"/>
    <col min="18" max="18" width="14" customWidth="1"/>
    <col min="19" max="19" width="16" customWidth="1"/>
    <col min="20" max="20" width="35" customWidth="1"/>
    <col min="21" max="21" width="16" customWidth="1"/>
    <col min="22" max="22" width="18" customWidth="1"/>
    <col min="23" max="23" width="35" customWidth="1"/>
    <col min="24" max="24" width="30" customWidth="1"/>
  </cols>
  <sheetData>
    <row r="1" spans="1:24" ht="21.75" customHeight="1" x14ac:dyDescent="0.35">
      <c r="A1" s="5" t="s">
        <v>57</v>
      </c>
      <c r="B1" s="5" t="s">
        <v>28</v>
      </c>
      <c r="C1" s="5" t="s">
        <v>58</v>
      </c>
      <c r="D1" s="5" t="s">
        <v>59</v>
      </c>
      <c r="E1" s="5" t="s">
        <v>60</v>
      </c>
      <c r="F1" s="5" t="s">
        <v>61</v>
      </c>
      <c r="G1" s="5" t="s">
        <v>62</v>
      </c>
      <c r="H1" s="5" t="s">
        <v>63</v>
      </c>
      <c r="I1" s="5" t="s">
        <v>64</v>
      </c>
      <c r="J1" s="5" t="s">
        <v>65</v>
      </c>
      <c r="K1" s="5" t="s">
        <v>38</v>
      </c>
      <c r="L1" s="5" t="s">
        <v>39</v>
      </c>
      <c r="M1" s="5" t="s">
        <v>66</v>
      </c>
      <c r="N1" s="5" t="s">
        <v>67</v>
      </c>
      <c r="O1" s="5" t="s">
        <v>40</v>
      </c>
      <c r="P1" s="5" t="s">
        <v>68</v>
      </c>
      <c r="Q1" s="5" t="s">
        <v>69</v>
      </c>
      <c r="R1" s="5" t="s">
        <v>70</v>
      </c>
      <c r="S1" s="5" t="s">
        <v>71</v>
      </c>
      <c r="T1" s="5" t="s">
        <v>72</v>
      </c>
      <c r="U1" s="5" t="s">
        <v>73</v>
      </c>
      <c r="V1" s="5" t="s">
        <v>74</v>
      </c>
      <c r="W1" s="5" t="s">
        <v>44</v>
      </c>
      <c r="X1" s="5" t="s">
        <v>48</v>
      </c>
    </row>
    <row r="2" spans="1:24" x14ac:dyDescent="0.3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spans="1:24" x14ac:dyDescent="0.3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spans="1:24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328125" defaultRowHeight="14.5" x14ac:dyDescent="0.35"/>
  <cols>
    <col min="1" max="1" width="28" customWidth="1"/>
    <col min="2" max="2" width="60" customWidth="1"/>
    <col min="3" max="3" width="14" customWidth="1"/>
    <col min="4" max="4" width="22" customWidth="1"/>
    <col min="5" max="5" width="10" customWidth="1"/>
    <col min="6" max="6" width="14" customWidth="1"/>
  </cols>
  <sheetData>
    <row r="1" spans="1:6" ht="21.75" customHeight="1" x14ac:dyDescent="0.35">
      <c r="A1" s="5" t="s">
        <v>79</v>
      </c>
      <c r="B1" s="5" t="s">
        <v>80</v>
      </c>
      <c r="C1" s="5" t="s">
        <v>81</v>
      </c>
      <c r="D1" s="5" t="s">
        <v>82</v>
      </c>
      <c r="E1" s="5" t="s">
        <v>56</v>
      </c>
      <c r="F1" s="5" t="s">
        <v>83</v>
      </c>
    </row>
    <row r="2" spans="1:6" x14ac:dyDescent="0.35">
      <c r="A2" s="6" t="s">
        <v>53</v>
      </c>
      <c r="B2" s="6" t="s">
        <v>84</v>
      </c>
      <c r="C2" s="6" t="s">
        <v>85</v>
      </c>
      <c r="D2" s="6" t="s">
        <v>86</v>
      </c>
      <c r="E2" s="6" t="s">
        <v>87</v>
      </c>
      <c r="F2" s="6" t="s">
        <v>88</v>
      </c>
    </row>
    <row r="4" spans="1:6" x14ac:dyDescent="0.35">
      <c r="A4" s="1" t="s">
        <v>89</v>
      </c>
      <c r="B4" s="1"/>
      <c r="C4" s="1"/>
      <c r="D4" s="1"/>
      <c r="E4" s="1"/>
      <c r="F4" s="1"/>
    </row>
  </sheetData>
  <mergeCells count="1">
    <mergeCell ref="A4:F4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328125" defaultRowHeight="14.5" x14ac:dyDescent="0.35"/>
  <cols>
    <col min="1" max="1" width="22" customWidth="1"/>
    <col min="2" max="2" width="28" customWidth="1"/>
    <col min="3" max="3" width="22" customWidth="1"/>
    <col min="4" max="4" width="16" customWidth="1"/>
    <col min="5" max="5" width="26" customWidth="1"/>
    <col min="6" max="6" width="50" customWidth="1"/>
    <col min="7" max="7" width="10" customWidth="1"/>
  </cols>
  <sheetData>
    <row r="1" spans="1:7" ht="21.75" customHeight="1" x14ac:dyDescent="0.35">
      <c r="A1" s="5" t="s">
        <v>29</v>
      </c>
      <c r="B1" s="5" t="s">
        <v>90</v>
      </c>
      <c r="C1" s="5" t="s">
        <v>91</v>
      </c>
      <c r="D1" s="5" t="s">
        <v>92</v>
      </c>
      <c r="E1" s="5" t="s">
        <v>93</v>
      </c>
      <c r="F1" s="5" t="s">
        <v>94</v>
      </c>
      <c r="G1" s="5" t="s">
        <v>56</v>
      </c>
    </row>
    <row r="2" spans="1:7" x14ac:dyDescent="0.35">
      <c r="A2" s="6" t="s">
        <v>50</v>
      </c>
      <c r="B2" s="6" t="s">
        <v>95</v>
      </c>
      <c r="C2" s="6">
        <v>36</v>
      </c>
      <c r="D2" s="6" t="s">
        <v>55</v>
      </c>
      <c r="E2" s="6">
        <v>1</v>
      </c>
      <c r="F2" s="6"/>
      <c r="G2" s="6" t="s">
        <v>87</v>
      </c>
    </row>
    <row r="3" spans="1:7" x14ac:dyDescent="0.35">
      <c r="A3" s="6" t="s">
        <v>96</v>
      </c>
      <c r="B3" s="6" t="s">
        <v>95</v>
      </c>
      <c r="C3" s="6">
        <v>37</v>
      </c>
      <c r="D3" s="6" t="s">
        <v>55</v>
      </c>
      <c r="E3" s="6">
        <v>1</v>
      </c>
      <c r="F3" s="6"/>
      <c r="G3" s="6" t="s">
        <v>87</v>
      </c>
    </row>
    <row r="4" spans="1:7" x14ac:dyDescent="0.35">
      <c r="A4" s="6" t="s">
        <v>97</v>
      </c>
      <c r="B4" s="6" t="s">
        <v>98</v>
      </c>
      <c r="C4" s="6">
        <v>28</v>
      </c>
      <c r="D4" s="6" t="s">
        <v>99</v>
      </c>
      <c r="E4" s="6">
        <v>3</v>
      </c>
      <c r="F4" s="6"/>
      <c r="G4" s="6" t="s">
        <v>87</v>
      </c>
    </row>
    <row r="5" spans="1:7" x14ac:dyDescent="0.35">
      <c r="A5" s="6" t="s">
        <v>100</v>
      </c>
      <c r="B5" s="6" t="s">
        <v>98</v>
      </c>
      <c r="C5" s="6">
        <v>40</v>
      </c>
      <c r="D5" s="6" t="s">
        <v>99</v>
      </c>
      <c r="E5" s="6">
        <v>2</v>
      </c>
      <c r="F5" s="6"/>
      <c r="G5" s="6" t="s">
        <v>87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8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328125" defaultRowHeight="14.5" x14ac:dyDescent="0.35"/>
  <cols>
    <col min="1" max="1" width="14" customWidth="1"/>
    <col min="2" max="2" width="8" customWidth="1"/>
    <col min="3" max="3" width="14" customWidth="1"/>
    <col min="4" max="4" width="36" customWidth="1"/>
    <col min="5" max="5" width="12" customWidth="1"/>
    <col min="6" max="6" width="18" customWidth="1"/>
    <col min="7" max="7" width="12" customWidth="1"/>
    <col min="8" max="10" width="18" customWidth="1"/>
    <col min="11" max="12" width="12" customWidth="1"/>
    <col min="13" max="13" width="10" customWidth="1"/>
    <col min="14" max="14" width="35" customWidth="1"/>
  </cols>
  <sheetData>
    <row r="1" spans="1:14" ht="21.75" customHeight="1" x14ac:dyDescent="0.35">
      <c r="A1" s="5" t="s">
        <v>101</v>
      </c>
      <c r="B1" s="5" t="s">
        <v>102</v>
      </c>
      <c r="C1" s="5" t="s">
        <v>59</v>
      </c>
      <c r="D1" s="5" t="s">
        <v>82</v>
      </c>
      <c r="E1" s="5" t="s">
        <v>103</v>
      </c>
      <c r="F1" s="5" t="s">
        <v>104</v>
      </c>
      <c r="G1" s="5" t="s">
        <v>105</v>
      </c>
      <c r="H1" s="5" t="s">
        <v>106</v>
      </c>
      <c r="I1" s="5" t="s">
        <v>107</v>
      </c>
      <c r="J1" s="5" t="s">
        <v>108</v>
      </c>
      <c r="K1" s="5" t="s">
        <v>109</v>
      </c>
      <c r="L1" s="5" t="s">
        <v>110</v>
      </c>
      <c r="M1" s="5" t="s">
        <v>56</v>
      </c>
      <c r="N1" s="5" t="s">
        <v>48</v>
      </c>
    </row>
    <row r="2" spans="1:14" x14ac:dyDescent="0.35">
      <c r="A2" s="6" t="s">
        <v>111</v>
      </c>
      <c r="B2" s="6">
        <v>1</v>
      </c>
      <c r="C2" s="6" t="s">
        <v>112</v>
      </c>
      <c r="D2" s="6" t="s">
        <v>76</v>
      </c>
      <c r="E2" s="6" t="s">
        <v>75</v>
      </c>
      <c r="F2" s="6" t="s">
        <v>113</v>
      </c>
      <c r="G2" s="6">
        <v>1</v>
      </c>
      <c r="H2" s="6">
        <v>1</v>
      </c>
      <c r="I2" s="6">
        <v>2000</v>
      </c>
      <c r="J2" s="6">
        <f t="shared" ref="J2:J15" si="0">G2*H2*I2</f>
        <v>2000</v>
      </c>
      <c r="K2" s="6">
        <v>500</v>
      </c>
      <c r="L2" s="6">
        <v>1</v>
      </c>
      <c r="M2" s="6" t="s">
        <v>87</v>
      </c>
      <c r="N2" s="6" t="s">
        <v>114</v>
      </c>
    </row>
    <row r="3" spans="1:14" x14ac:dyDescent="0.35">
      <c r="A3" s="6" t="s">
        <v>115</v>
      </c>
      <c r="B3" s="6">
        <v>1</v>
      </c>
      <c r="C3" s="6" t="s">
        <v>116</v>
      </c>
      <c r="D3" s="6" t="s">
        <v>78</v>
      </c>
      <c r="E3" s="6" t="s">
        <v>77</v>
      </c>
      <c r="F3" s="6" t="s">
        <v>117</v>
      </c>
      <c r="G3" s="6">
        <v>2</v>
      </c>
      <c r="H3" s="6">
        <v>29</v>
      </c>
      <c r="I3" s="6">
        <v>42</v>
      </c>
      <c r="J3" s="6">
        <f t="shared" si="0"/>
        <v>2436</v>
      </c>
      <c r="K3" s="6">
        <v>500</v>
      </c>
      <c r="L3" s="6">
        <v>2</v>
      </c>
      <c r="M3" s="6" t="s">
        <v>87</v>
      </c>
      <c r="N3" s="6" t="s">
        <v>118</v>
      </c>
    </row>
    <row r="4" spans="1:14" ht="28" x14ac:dyDescent="0.35">
      <c r="A4" s="6" t="s">
        <v>119</v>
      </c>
      <c r="B4" s="6">
        <v>1</v>
      </c>
      <c r="C4" s="6" t="s">
        <v>116</v>
      </c>
      <c r="D4" s="6" t="s">
        <v>52</v>
      </c>
      <c r="E4" s="6" t="s">
        <v>51</v>
      </c>
      <c r="F4" s="6" t="s">
        <v>117</v>
      </c>
      <c r="G4" s="6">
        <v>1</v>
      </c>
      <c r="H4" s="6">
        <v>147</v>
      </c>
      <c r="I4" s="6">
        <v>14</v>
      </c>
      <c r="J4" s="6">
        <f t="shared" si="0"/>
        <v>2058</v>
      </c>
      <c r="K4" s="6">
        <v>500</v>
      </c>
      <c r="L4" s="6">
        <v>3</v>
      </c>
      <c r="M4" s="6" t="s">
        <v>87</v>
      </c>
      <c r="N4" s="6" t="s">
        <v>120</v>
      </c>
    </row>
    <row r="5" spans="1:14" x14ac:dyDescent="0.35">
      <c r="A5" s="6" t="s">
        <v>121</v>
      </c>
      <c r="B5" s="6">
        <v>1</v>
      </c>
      <c r="C5" s="6" t="s">
        <v>116</v>
      </c>
      <c r="D5" s="6" t="s">
        <v>122</v>
      </c>
      <c r="E5" s="6" t="s">
        <v>77</v>
      </c>
      <c r="F5" s="6" t="s">
        <v>117</v>
      </c>
      <c r="G5" s="6">
        <v>1</v>
      </c>
      <c r="H5" s="6">
        <v>29</v>
      </c>
      <c r="I5" s="6">
        <v>42</v>
      </c>
      <c r="J5" s="6">
        <f t="shared" si="0"/>
        <v>1218</v>
      </c>
      <c r="K5" s="6">
        <v>500</v>
      </c>
      <c r="L5" s="6">
        <v>4</v>
      </c>
      <c r="M5" s="6" t="s">
        <v>87</v>
      </c>
      <c r="N5" s="6" t="s">
        <v>123</v>
      </c>
    </row>
    <row r="6" spans="1:14" ht="28" x14ac:dyDescent="0.35">
      <c r="A6" s="6" t="s">
        <v>124</v>
      </c>
      <c r="B6" s="6">
        <v>1</v>
      </c>
      <c r="C6" s="6" t="s">
        <v>116</v>
      </c>
      <c r="D6" s="6" t="s">
        <v>125</v>
      </c>
      <c r="E6" s="6" t="s">
        <v>51</v>
      </c>
      <c r="F6" s="6" t="s">
        <v>117</v>
      </c>
      <c r="G6" s="6">
        <v>1</v>
      </c>
      <c r="H6" s="6">
        <v>132</v>
      </c>
      <c r="I6" s="6">
        <v>14</v>
      </c>
      <c r="J6" s="6">
        <f t="shared" si="0"/>
        <v>1848</v>
      </c>
      <c r="K6" s="6">
        <v>500</v>
      </c>
      <c r="L6" s="6">
        <v>5</v>
      </c>
      <c r="M6" s="6" t="s">
        <v>87</v>
      </c>
      <c r="N6" s="6" t="s">
        <v>126</v>
      </c>
    </row>
    <row r="7" spans="1:14" ht="28" x14ac:dyDescent="0.35">
      <c r="A7" s="6" t="s">
        <v>127</v>
      </c>
      <c r="B7" s="6">
        <v>1</v>
      </c>
      <c r="C7" s="6" t="s">
        <v>116</v>
      </c>
      <c r="D7" s="6" t="s">
        <v>128</v>
      </c>
      <c r="E7" s="6" t="s">
        <v>51</v>
      </c>
      <c r="F7" s="6" t="s">
        <v>129</v>
      </c>
      <c r="G7" s="6">
        <v>1</v>
      </c>
      <c r="H7" s="6">
        <v>247</v>
      </c>
      <c r="I7" s="6">
        <v>22</v>
      </c>
      <c r="J7" s="6">
        <f t="shared" si="0"/>
        <v>5434</v>
      </c>
      <c r="K7" s="6">
        <v>500</v>
      </c>
      <c r="L7" s="6">
        <v>6</v>
      </c>
      <c r="M7" s="6" t="s">
        <v>87</v>
      </c>
      <c r="N7" s="6" t="s">
        <v>130</v>
      </c>
    </row>
    <row r="8" spans="1:14" ht="42" x14ac:dyDescent="0.35">
      <c r="A8" s="6" t="s">
        <v>131</v>
      </c>
      <c r="B8" s="6">
        <v>1</v>
      </c>
      <c r="C8" s="6" t="s">
        <v>116</v>
      </c>
      <c r="D8" s="6" t="s">
        <v>132</v>
      </c>
      <c r="E8" s="6" t="s">
        <v>51</v>
      </c>
      <c r="F8" s="6" t="s">
        <v>129</v>
      </c>
      <c r="G8" s="6">
        <v>1</v>
      </c>
      <c r="H8" s="6">
        <v>168</v>
      </c>
      <c r="I8" s="6">
        <v>21.21</v>
      </c>
      <c r="J8" s="6">
        <f t="shared" si="0"/>
        <v>3563.28</v>
      </c>
      <c r="K8" s="6">
        <v>500</v>
      </c>
      <c r="L8" s="6">
        <v>7</v>
      </c>
      <c r="M8" s="6" t="s">
        <v>87</v>
      </c>
      <c r="N8" s="6" t="s">
        <v>133</v>
      </c>
    </row>
    <row r="9" spans="1:14" x14ac:dyDescent="0.35">
      <c r="A9" s="6" t="s">
        <v>134</v>
      </c>
      <c r="B9" s="6">
        <v>2</v>
      </c>
      <c r="C9" s="6" t="s">
        <v>112</v>
      </c>
      <c r="D9" s="6" t="s">
        <v>135</v>
      </c>
      <c r="E9" s="6" t="s">
        <v>75</v>
      </c>
      <c r="F9" s="6" t="s">
        <v>113</v>
      </c>
      <c r="G9" s="6">
        <v>1</v>
      </c>
      <c r="H9" s="6">
        <v>1</v>
      </c>
      <c r="I9" s="6">
        <v>4400</v>
      </c>
      <c r="J9" s="6">
        <f t="shared" si="0"/>
        <v>4400</v>
      </c>
      <c r="K9" s="6">
        <v>1100</v>
      </c>
      <c r="L9" s="6">
        <v>8</v>
      </c>
      <c r="M9" s="6" t="s">
        <v>87</v>
      </c>
      <c r="N9" s="6" t="s">
        <v>114</v>
      </c>
    </row>
    <row r="10" spans="1:14" x14ac:dyDescent="0.35">
      <c r="A10" s="6" t="s">
        <v>136</v>
      </c>
      <c r="B10" s="6">
        <v>2</v>
      </c>
      <c r="C10" s="6" t="s">
        <v>116</v>
      </c>
      <c r="D10" s="6" t="s">
        <v>137</v>
      </c>
      <c r="E10" s="6" t="s">
        <v>77</v>
      </c>
      <c r="F10" s="6" t="s">
        <v>117</v>
      </c>
      <c r="G10" s="6">
        <v>4</v>
      </c>
      <c r="H10" s="6">
        <v>22</v>
      </c>
      <c r="I10" s="6">
        <v>34</v>
      </c>
      <c r="J10" s="6">
        <f t="shared" si="0"/>
        <v>2992</v>
      </c>
      <c r="K10" s="6">
        <v>1100</v>
      </c>
      <c r="L10" s="6">
        <v>9</v>
      </c>
      <c r="M10" s="6" t="s">
        <v>87</v>
      </c>
      <c r="N10" s="6" t="s">
        <v>138</v>
      </c>
    </row>
    <row r="11" spans="1:14" ht="28" x14ac:dyDescent="0.35">
      <c r="A11" s="6" t="s">
        <v>139</v>
      </c>
      <c r="B11" s="6">
        <v>2</v>
      </c>
      <c r="C11" s="6" t="s">
        <v>116</v>
      </c>
      <c r="D11" s="6" t="s">
        <v>140</v>
      </c>
      <c r="E11" s="6" t="s">
        <v>51</v>
      </c>
      <c r="F11" s="6" t="s">
        <v>117</v>
      </c>
      <c r="G11" s="6">
        <v>1</v>
      </c>
      <c r="H11" s="6">
        <v>222</v>
      </c>
      <c r="I11" s="6">
        <v>13</v>
      </c>
      <c r="J11" s="6">
        <f t="shared" si="0"/>
        <v>2886</v>
      </c>
      <c r="K11" s="6">
        <v>1100</v>
      </c>
      <c r="L11" s="6">
        <v>10</v>
      </c>
      <c r="M11" s="6" t="s">
        <v>87</v>
      </c>
      <c r="N11" s="6" t="s">
        <v>141</v>
      </c>
    </row>
    <row r="12" spans="1:14" x14ac:dyDescent="0.35">
      <c r="A12" s="6" t="s">
        <v>142</v>
      </c>
      <c r="B12" s="6">
        <v>2</v>
      </c>
      <c r="C12" s="6" t="s">
        <v>116</v>
      </c>
      <c r="D12" s="6" t="s">
        <v>143</v>
      </c>
      <c r="E12" s="6" t="s">
        <v>77</v>
      </c>
      <c r="F12" s="6" t="s">
        <v>117</v>
      </c>
      <c r="G12" s="6">
        <v>4</v>
      </c>
      <c r="H12" s="6">
        <v>22</v>
      </c>
      <c r="I12" s="6">
        <v>34</v>
      </c>
      <c r="J12" s="6">
        <f t="shared" si="0"/>
        <v>2992</v>
      </c>
      <c r="K12" s="6">
        <v>1100</v>
      </c>
      <c r="L12" s="6">
        <v>11</v>
      </c>
      <c r="M12" s="6" t="s">
        <v>87</v>
      </c>
      <c r="N12" s="6" t="s">
        <v>144</v>
      </c>
    </row>
    <row r="13" spans="1:14" x14ac:dyDescent="0.35">
      <c r="A13" s="6" t="s">
        <v>145</v>
      </c>
      <c r="B13" s="6">
        <v>2</v>
      </c>
      <c r="C13" s="6" t="s">
        <v>116</v>
      </c>
      <c r="D13" s="6" t="s">
        <v>146</v>
      </c>
      <c r="E13" s="6" t="s">
        <v>51</v>
      </c>
      <c r="F13" s="6" t="s">
        <v>117</v>
      </c>
      <c r="G13" s="6">
        <v>1</v>
      </c>
      <c r="H13" s="6">
        <v>222</v>
      </c>
      <c r="I13" s="6">
        <v>13</v>
      </c>
      <c r="J13" s="6">
        <f t="shared" si="0"/>
        <v>2886</v>
      </c>
      <c r="K13" s="6">
        <v>1100</v>
      </c>
      <c r="L13" s="6">
        <v>12</v>
      </c>
      <c r="M13" s="6" t="s">
        <v>87</v>
      </c>
      <c r="N13" s="6" t="s">
        <v>144</v>
      </c>
    </row>
    <row r="14" spans="1:14" ht="28" x14ac:dyDescent="0.35">
      <c r="A14" s="6" t="s">
        <v>147</v>
      </c>
      <c r="B14" s="6">
        <v>2</v>
      </c>
      <c r="C14" s="6" t="s">
        <v>116</v>
      </c>
      <c r="D14" s="6" t="s">
        <v>148</v>
      </c>
      <c r="E14" s="6" t="s">
        <v>51</v>
      </c>
      <c r="F14" s="6" t="s">
        <v>129</v>
      </c>
      <c r="G14" s="6">
        <v>1</v>
      </c>
      <c r="H14" s="6">
        <v>287</v>
      </c>
      <c r="I14" s="6">
        <v>22</v>
      </c>
      <c r="J14" s="6">
        <f t="shared" si="0"/>
        <v>6314</v>
      </c>
      <c r="K14" s="6">
        <v>1100</v>
      </c>
      <c r="L14" s="6">
        <v>13</v>
      </c>
      <c r="M14" s="6" t="s">
        <v>87</v>
      </c>
      <c r="N14" s="6" t="s">
        <v>149</v>
      </c>
    </row>
    <row r="15" spans="1:14" x14ac:dyDescent="0.35">
      <c r="A15" s="6" t="s">
        <v>150</v>
      </c>
      <c r="B15" s="6">
        <v>2</v>
      </c>
      <c r="C15" s="6" t="s">
        <v>116</v>
      </c>
      <c r="D15" s="6" t="s">
        <v>151</v>
      </c>
      <c r="E15" s="6" t="s">
        <v>51</v>
      </c>
      <c r="F15" s="6" t="s">
        <v>129</v>
      </c>
      <c r="G15" s="6">
        <v>1</v>
      </c>
      <c r="H15" s="6">
        <v>287</v>
      </c>
      <c r="I15" s="6">
        <v>22</v>
      </c>
      <c r="J15" s="6">
        <f t="shared" si="0"/>
        <v>6314</v>
      </c>
      <c r="K15" s="6">
        <v>1100</v>
      </c>
      <c r="L15" s="6">
        <v>14</v>
      </c>
      <c r="M15" s="6" t="s">
        <v>87</v>
      </c>
      <c r="N15" s="6" t="s">
        <v>152</v>
      </c>
    </row>
    <row r="18" spans="1:14" x14ac:dyDescent="0.35">
      <c r="A18" s="1" t="s">
        <v>153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</sheetData>
  <mergeCells count="1">
    <mergeCell ref="A18:N18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328125" defaultRowHeight="14.5" x14ac:dyDescent="0.35"/>
  <cols>
    <col min="1" max="1" width="16" customWidth="1"/>
    <col min="2" max="3" width="22" customWidth="1"/>
    <col min="4" max="4" width="18" customWidth="1"/>
    <col min="5" max="6" width="16" customWidth="1"/>
    <col min="7" max="7" width="12" customWidth="1"/>
    <col min="8" max="8" width="14" customWidth="1"/>
    <col min="9" max="9" width="16" customWidth="1"/>
    <col min="10" max="10" width="10" customWidth="1"/>
    <col min="11" max="11" width="30" customWidth="1"/>
  </cols>
  <sheetData>
    <row r="1" spans="1:11" ht="21.75" customHeight="1" x14ac:dyDescent="0.35">
      <c r="A1" s="5" t="s">
        <v>154</v>
      </c>
      <c r="B1" s="5" t="s">
        <v>155</v>
      </c>
      <c r="C1" s="5" t="s">
        <v>29</v>
      </c>
      <c r="D1" s="5" t="s">
        <v>156</v>
      </c>
      <c r="E1" s="5" t="s">
        <v>157</v>
      </c>
      <c r="F1" s="5" t="s">
        <v>158</v>
      </c>
      <c r="G1" s="5" t="s">
        <v>159</v>
      </c>
      <c r="H1" s="5" t="s">
        <v>160</v>
      </c>
      <c r="I1" s="5" t="s">
        <v>161</v>
      </c>
      <c r="J1" s="5" t="s">
        <v>56</v>
      </c>
      <c r="K1" s="5" t="s">
        <v>48</v>
      </c>
    </row>
    <row r="2" spans="1:11" x14ac:dyDescent="0.35">
      <c r="A2" s="6" t="s">
        <v>54</v>
      </c>
      <c r="B2" s="6" t="s">
        <v>162</v>
      </c>
      <c r="C2" s="6" t="s">
        <v>50</v>
      </c>
      <c r="D2" s="6" t="s">
        <v>163</v>
      </c>
      <c r="E2" s="6" t="s">
        <v>164</v>
      </c>
      <c r="F2" s="6">
        <v>50000</v>
      </c>
      <c r="G2" s="6" t="s">
        <v>165</v>
      </c>
      <c r="H2" s="6">
        <v>0</v>
      </c>
      <c r="I2" s="6" t="s">
        <v>166</v>
      </c>
      <c r="J2" s="6" t="s">
        <v>87</v>
      </c>
      <c r="K2" s="6" t="s">
        <v>167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3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328125" defaultRowHeight="14.5" x14ac:dyDescent="0.35"/>
  <cols>
    <col min="1" max="1" width="40" customWidth="1"/>
    <col min="2" max="2" width="22" customWidth="1"/>
    <col min="3" max="3" width="70" customWidth="1"/>
  </cols>
  <sheetData>
    <row r="1" spans="1:3" ht="21.75" customHeight="1" x14ac:dyDescent="0.35">
      <c r="A1" s="5" t="s">
        <v>168</v>
      </c>
      <c r="B1" s="5" t="s">
        <v>169</v>
      </c>
      <c r="C1" s="5" t="s">
        <v>170</v>
      </c>
    </row>
    <row r="2" spans="1:3" x14ac:dyDescent="0.35">
      <c r="A2" s="6" t="s">
        <v>171</v>
      </c>
      <c r="B2" s="6">
        <v>5</v>
      </c>
      <c r="C2" s="6" t="s">
        <v>172</v>
      </c>
    </row>
    <row r="3" spans="1:3" x14ac:dyDescent="0.35">
      <c r="A3" s="6" t="s">
        <v>173</v>
      </c>
      <c r="B3" s="6">
        <v>15</v>
      </c>
      <c r="C3" s="6" t="s">
        <v>174</v>
      </c>
    </row>
    <row r="4" spans="1:3" x14ac:dyDescent="0.35">
      <c r="A4" s="6" t="s">
        <v>175</v>
      </c>
      <c r="B4" s="6" t="s">
        <v>176</v>
      </c>
      <c r="C4" s="6" t="s">
        <v>177</v>
      </c>
    </row>
    <row r="5" spans="1:3" x14ac:dyDescent="0.35">
      <c r="A5" s="6" t="s">
        <v>178</v>
      </c>
      <c r="B5" s="6" t="s">
        <v>179</v>
      </c>
      <c r="C5" s="6" t="s">
        <v>180</v>
      </c>
    </row>
    <row r="6" spans="1:3" x14ac:dyDescent="0.35">
      <c r="A6" s="6" t="s">
        <v>181</v>
      </c>
      <c r="B6" s="6">
        <v>2</v>
      </c>
      <c r="C6" s="6" t="s">
        <v>182</v>
      </c>
    </row>
    <row r="7" spans="1:3" x14ac:dyDescent="0.35">
      <c r="A7" s="6" t="s">
        <v>183</v>
      </c>
      <c r="B7" s="6">
        <v>1</v>
      </c>
      <c r="C7" s="6" t="s">
        <v>184</v>
      </c>
    </row>
    <row r="8" spans="1:3" x14ac:dyDescent="0.35">
      <c r="A8" s="6" t="s">
        <v>185</v>
      </c>
      <c r="B8" s="6" t="s">
        <v>186</v>
      </c>
      <c r="C8" s="6" t="s">
        <v>187</v>
      </c>
    </row>
    <row r="9" spans="1:3" x14ac:dyDescent="0.35">
      <c r="A9" s="6" t="s">
        <v>188</v>
      </c>
      <c r="B9" s="6" t="s">
        <v>189</v>
      </c>
      <c r="C9" s="6" t="s">
        <v>190</v>
      </c>
    </row>
    <row r="10" spans="1:3" x14ac:dyDescent="0.35">
      <c r="A10" s="6" t="s">
        <v>191</v>
      </c>
      <c r="B10" s="6" t="s">
        <v>192</v>
      </c>
      <c r="C10" s="6" t="s">
        <v>193</v>
      </c>
    </row>
    <row r="11" spans="1:3" x14ac:dyDescent="0.35">
      <c r="A11" s="6" t="s">
        <v>194</v>
      </c>
      <c r="B11" s="6" t="s">
        <v>195</v>
      </c>
      <c r="C11" s="6" t="s">
        <v>196</v>
      </c>
    </row>
    <row r="12" spans="1:3" x14ac:dyDescent="0.35">
      <c r="A12" s="6" t="s">
        <v>197</v>
      </c>
      <c r="B12" s="6">
        <v>3</v>
      </c>
      <c r="C12" s="6" t="s">
        <v>198</v>
      </c>
    </row>
    <row r="13" spans="1:3" x14ac:dyDescent="0.35">
      <c r="A13" s="6" t="s">
        <v>199</v>
      </c>
      <c r="B13" s="6">
        <v>2</v>
      </c>
      <c r="C13" s="6" t="s">
        <v>198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328125" defaultRowHeight="14.5" x14ac:dyDescent="0.35"/>
  <cols>
    <col min="1" max="2" width="14" customWidth="1"/>
    <col min="3" max="3" width="16" customWidth="1"/>
    <col min="4" max="4" width="14" customWidth="1"/>
    <col min="5" max="5" width="20" customWidth="1"/>
    <col min="6" max="6" width="16" customWidth="1"/>
  </cols>
  <sheetData>
    <row r="1" spans="1:6" ht="21.75" customHeight="1" x14ac:dyDescent="0.35">
      <c r="A1" s="5" t="s">
        <v>58</v>
      </c>
      <c r="B1" s="5" t="s">
        <v>101</v>
      </c>
      <c r="C1" s="5" t="s">
        <v>200</v>
      </c>
      <c r="D1" s="5" t="s">
        <v>201</v>
      </c>
      <c r="E1" s="5" t="s">
        <v>202</v>
      </c>
      <c r="F1" s="5" t="s">
        <v>203</v>
      </c>
    </row>
    <row r="3" spans="1:6" x14ac:dyDescent="0.35">
      <c r="A3" s="1" t="s">
        <v>204</v>
      </c>
      <c r="B3" s="1"/>
      <c r="C3" s="1"/>
      <c r="D3" s="1"/>
      <c r="E3" s="1"/>
      <c r="F3" s="1"/>
    </row>
  </sheetData>
  <mergeCells count="1">
    <mergeCell ref="A3:F3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3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328125" defaultRowHeight="14.5" x14ac:dyDescent="0.35"/>
  <cols>
    <col min="1" max="1" width="12" customWidth="1"/>
    <col min="2" max="2" width="28" customWidth="1"/>
    <col min="3" max="3" width="18" customWidth="1"/>
    <col min="4" max="4" width="28" customWidth="1"/>
    <col min="5" max="5" width="16" customWidth="1"/>
    <col min="6" max="6" width="36" customWidth="1"/>
    <col min="7" max="7" width="30" customWidth="1"/>
    <col min="8" max="8" width="10" customWidth="1"/>
    <col min="9" max="9" width="14" customWidth="1"/>
  </cols>
  <sheetData>
    <row r="1" spans="1:9" ht="21.75" customHeight="1" x14ac:dyDescent="0.35">
      <c r="A1" s="5" t="s">
        <v>205</v>
      </c>
      <c r="B1" s="5" t="s">
        <v>82</v>
      </c>
      <c r="C1" s="5" t="s">
        <v>59</v>
      </c>
      <c r="D1" s="5" t="s">
        <v>206</v>
      </c>
      <c r="E1" s="5" t="s">
        <v>207</v>
      </c>
      <c r="F1" s="5" t="s">
        <v>208</v>
      </c>
      <c r="G1" s="5" t="s">
        <v>48</v>
      </c>
      <c r="H1" s="5" t="s">
        <v>56</v>
      </c>
      <c r="I1" s="5" t="s">
        <v>83</v>
      </c>
    </row>
    <row r="3" spans="1:9" x14ac:dyDescent="0.35">
      <c r="A3" s="1" t="s">
        <v>209</v>
      </c>
      <c r="B3" s="1"/>
      <c r="C3" s="1"/>
      <c r="D3" s="1"/>
      <c r="E3" s="1"/>
      <c r="F3" s="1"/>
      <c r="G3" s="1"/>
      <c r="H3" s="1"/>
      <c r="I3" s="1"/>
    </row>
  </sheetData>
  <mergeCells count="1">
    <mergeCell ref="A3:I3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3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328125" defaultRowHeight="14.5" x14ac:dyDescent="0.35"/>
  <cols>
    <col min="1" max="1" width="10" customWidth="1"/>
    <col min="2" max="2" width="16" customWidth="1"/>
    <col min="3" max="3" width="12" customWidth="1"/>
    <col min="4" max="4" width="28" customWidth="1"/>
    <col min="5" max="5" width="22" customWidth="1"/>
    <col min="6" max="7" width="12" customWidth="1"/>
    <col min="8" max="8" width="16" customWidth="1"/>
    <col min="9" max="9" width="14" customWidth="1"/>
    <col min="10" max="10" width="24" customWidth="1"/>
    <col min="11" max="11" width="18" customWidth="1"/>
    <col min="12" max="12" width="30" customWidth="1"/>
  </cols>
  <sheetData>
    <row r="1" spans="1:12" ht="21.75" customHeight="1" x14ac:dyDescent="0.35">
      <c r="A1" s="5" t="s">
        <v>210</v>
      </c>
      <c r="B1" s="5" t="s">
        <v>211</v>
      </c>
      <c r="C1" s="5" t="s">
        <v>205</v>
      </c>
      <c r="D1" s="5" t="s">
        <v>212</v>
      </c>
      <c r="E1" s="5" t="s">
        <v>29</v>
      </c>
      <c r="F1" s="5" t="s">
        <v>159</v>
      </c>
      <c r="G1" s="5" t="s">
        <v>213</v>
      </c>
      <c r="H1" s="5" t="s">
        <v>214</v>
      </c>
      <c r="I1" s="5" t="s">
        <v>215</v>
      </c>
      <c r="J1" s="5" t="s">
        <v>216</v>
      </c>
      <c r="K1" s="5" t="s">
        <v>74</v>
      </c>
      <c r="L1" s="5" t="s">
        <v>48</v>
      </c>
    </row>
    <row r="3" spans="1:12" x14ac:dyDescent="0.35">
      <c r="A3" s="1" t="s">
        <v>217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</sheetData>
  <mergeCells count="1">
    <mergeCell ref="A3:L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LEEME</vt:lpstr>
      <vt:lpstr>Lotes</vt:lpstr>
      <vt:lpstr>Movimientos</vt:lpstr>
      <vt:lpstr>Usuarios</vt:lpstr>
      <vt:lpstr>Variedades</vt:lpstr>
      <vt:lpstr>Ubicaciones</vt:lpstr>
      <vt:lpstr>Semillas</vt:lpstr>
      <vt:lpstr>Configuracion</vt:lpstr>
      <vt:lpstr>HistoricoOcupacion</vt:lpstr>
      <vt:lpstr>Clientes</vt:lpstr>
      <vt:lpstr>Ventas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Marcos Quaranta</cp:lastModifiedBy>
  <cp:revision>0</cp:revision>
  <dcterms:created xsi:type="dcterms:W3CDTF">2026-04-28T12:41:54Z</dcterms:created>
  <dcterms:modified xsi:type="dcterms:W3CDTF">2026-05-08T12:09:08Z</dcterms:modified>
  <dc:language>en-US</dc:language>
</cp:coreProperties>
</file>